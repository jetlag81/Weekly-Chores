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Dev Projects\Chores\"/>
    </mc:Choice>
  </mc:AlternateContent>
  <xr:revisionPtr revIDLastSave="0" documentId="13_ncr:1_{EBA123E0-78B7-49FA-BC42-FA9249D5227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hore Schedule" sheetId="1" r:id="rId1"/>
  </sheets>
  <definedNames>
    <definedName name="ColumnTitle1">'Chore Schedule'!$B$4</definedName>
    <definedName name="_xlnm.Print_Area" localSheetId="0">'Chore Schedule'!$B$1:$P$19</definedName>
    <definedName name="_xlnm.Print_Titles" localSheetId="0">'Chore Schedule'!$4:$4</definedName>
    <definedName name="StartDate">'Chore Schedule'!$B$3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" l="1"/>
  <c r="O3" i="1" l="1"/>
  <c r="M3" i="1"/>
  <c r="K3" i="1"/>
  <c r="I3" i="1"/>
  <c r="G3" i="1"/>
  <c r="O2" i="1"/>
  <c r="M2" i="1"/>
  <c r="K2" i="1"/>
  <c r="I2" i="1"/>
  <c r="G2" i="1"/>
  <c r="E3" i="1"/>
  <c r="E2" i="1"/>
  <c r="C3" i="1"/>
</calcChain>
</file>

<file path=xl/sharedStrings.xml><?xml version="1.0" encoding="utf-8"?>
<sst xmlns="http://schemas.openxmlformats.org/spreadsheetml/2006/main" count="44" uniqueCount="41">
  <si>
    <t>FOR THE WEEK OF:</t>
  </si>
  <si>
    <t>TASK</t>
  </si>
  <si>
    <t>Chore Schedule</t>
  </si>
  <si>
    <t xml:space="preserve"> </t>
  </si>
  <si>
    <t>WHO
Day 1</t>
  </si>
  <si>
    <t xml:space="preserve"> WHO 
DAY 2</t>
  </si>
  <si>
    <t xml:space="preserve"> WHO 
DAY 3</t>
  </si>
  <si>
    <t xml:space="preserve"> WHO 
DAY 4</t>
  </si>
  <si>
    <t xml:space="preserve"> WHO
DAY 5</t>
  </si>
  <si>
    <t xml:space="preserve"> WHO
DAY 6</t>
  </si>
  <si>
    <t xml:space="preserve"> WHO
DAY 7</t>
  </si>
  <si>
    <t>DONE 
Day 1</t>
  </si>
  <si>
    <t>DONE 
DAY 2</t>
  </si>
  <si>
    <t>DONE  
DAY 3</t>
  </si>
  <si>
    <t>DONE
DAY 4</t>
  </si>
  <si>
    <t>DONE
DAY 5</t>
  </si>
  <si>
    <t>DONE
DAY 6</t>
  </si>
  <si>
    <t>DONE 
DAY 7</t>
  </si>
  <si>
    <t>Empty the Litter Box 
(Morning &amp; Evening)</t>
  </si>
  <si>
    <t>Feed the Herd 
(Breakfast &amp; Supper)</t>
  </si>
  <si>
    <t>Make Supper: Plan Ahead!</t>
  </si>
  <si>
    <t>Daily Tasks</t>
  </si>
  <si>
    <t>Weekly Tasks</t>
  </si>
  <si>
    <t>Personal Laundry</t>
  </si>
  <si>
    <r>
      <t xml:space="preserve">Empty Dishwasher (Before Supper) 
</t>
    </r>
    <r>
      <rPr>
        <sz val="12"/>
        <color theme="1" tint="0.34998626667073579"/>
        <rFont val="Calibri"/>
        <family val="2"/>
        <scheme val="minor"/>
      </rPr>
      <t>- Put away clean dishes; Load any dirty ones</t>
    </r>
  </si>
  <si>
    <r>
      <t xml:space="preserve">Dinner Dishes &amp; Kitchen Clean-up 
</t>
    </r>
    <r>
      <rPr>
        <sz val="12"/>
        <color theme="1" tint="0.34998626667073579"/>
        <rFont val="Calibri"/>
        <family val="2"/>
        <scheme val="minor"/>
      </rPr>
      <t>- Put away food; Load dishwasher; Wipe surfaces</t>
    </r>
  </si>
  <si>
    <t>Herd Feeding Station Deep Clean</t>
  </si>
  <si>
    <t>Clean Up Basement</t>
  </si>
  <si>
    <t>Tidy Bedrooms / Personal Spaces</t>
  </si>
  <si>
    <t xml:space="preserve">  - Pick Up, Organize, Dust &amp; Vacuum</t>
  </si>
  <si>
    <t>Description</t>
  </si>
  <si>
    <t>Weekly Sign-Off</t>
  </si>
  <si>
    <t>Parent Initials:</t>
  </si>
  <si>
    <t>_________</t>
  </si>
  <si>
    <t>SG: ____  CV: ____  MV: ____  KV: ____  KG: ____</t>
  </si>
  <si>
    <t>Initials / Assigned</t>
  </si>
  <si>
    <t xml:space="preserve">  (Each Minion Does Their Own) - Wash, Dry, Fold &amp; Put Away</t>
  </si>
  <si>
    <t xml:space="preserve">  (Each Minion Does Their Own) - Pick Up Mess / laundry, Organize, Dust &amp; Vacuum</t>
  </si>
  <si>
    <r>
      <t xml:space="preserve">  </t>
    </r>
    <r>
      <rPr>
        <b/>
        <sz val="16"/>
        <color rgb="FF595959"/>
        <rFont val="Calibri"/>
        <family val="2"/>
        <scheme val="minor"/>
      </rPr>
      <t>- Clean &amp; Sanitize Bowls, Vacuum &amp; Wipe Space, Dispose of Waste</t>
    </r>
  </si>
  <si>
    <t>Done: ______</t>
  </si>
  <si>
    <t>Who: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</si>
</sst>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"/>
  </numFmts>
  <fonts count="27" x14ac:knownFonts="1">
    <font>
      <sz val="11"/>
      <color theme="1" tint="0.24994659260841701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16"/>
      <color theme="1" tint="0.34998626667073579"/>
      <name val="Calibri"/>
      <family val="2"/>
      <scheme val="minor"/>
    </font>
    <font>
      <b/>
      <sz val="36"/>
      <color theme="1" tint="0.34998626667073579"/>
      <name val="Calibri"/>
      <family val="2"/>
      <scheme val="major"/>
    </font>
    <font>
      <sz val="11"/>
      <color theme="1" tint="0.2499465926084170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0"/>
      <color theme="4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2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1"/>
      <color theme="2" tint="-0.749961851863155"/>
      <name val="Calibri"/>
      <family val="2"/>
      <scheme val="minor"/>
    </font>
    <font>
      <b/>
      <sz val="36"/>
      <color theme="0"/>
      <name val="Calibri"/>
      <family val="2"/>
      <scheme val="major"/>
    </font>
    <font>
      <sz val="20"/>
      <color rgb="FF595959"/>
      <name val="Calibri"/>
      <family val="2"/>
      <scheme val="minor"/>
    </font>
    <font>
      <b/>
      <sz val="16"/>
      <color rgb="FF595959"/>
      <name val="Calibri"/>
      <family val="2"/>
      <scheme val="minor"/>
    </font>
    <font>
      <b/>
      <sz val="18"/>
      <color rgb="FF595959"/>
      <name val="Calibri"/>
      <family val="2"/>
      <scheme val="minor"/>
    </font>
    <font>
      <b/>
      <sz val="18"/>
      <color theme="1" tint="0.34998626667073579"/>
      <name val="Calibri"/>
      <family val="2"/>
      <scheme val="minor"/>
    </font>
    <font>
      <b/>
      <sz val="14"/>
      <color rgb="FF595959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</fills>
  <borders count="42">
    <border>
      <left/>
      <right/>
      <top/>
      <bottom/>
      <diagonal/>
    </border>
    <border>
      <left style="thin">
        <color theme="0" tint="-0.14996795556505021"/>
      </left>
      <right/>
      <top style="medium">
        <color theme="4"/>
      </top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medium">
        <color theme="0" tint="-0.34998626667073579"/>
      </right>
      <top style="thin">
        <color theme="4"/>
      </top>
      <bottom style="thin">
        <color theme="4"/>
      </bottom>
      <diagonal/>
    </border>
    <border>
      <left style="medium">
        <color theme="0" tint="-0.34998626667073579"/>
      </left>
      <right/>
      <top style="thin">
        <color theme="0"/>
      </top>
      <bottom/>
      <diagonal/>
    </border>
    <border>
      <left style="thin">
        <color theme="0" tint="-0.499984740745262"/>
      </left>
      <right/>
      <top style="thin">
        <color theme="0"/>
      </top>
      <bottom/>
      <diagonal/>
    </border>
    <border>
      <left style="medium">
        <color theme="0"/>
      </left>
      <right/>
      <top style="thin">
        <color theme="0"/>
      </top>
      <bottom/>
      <diagonal/>
    </border>
    <border>
      <left style="medium">
        <color theme="0"/>
      </left>
      <right style="medium">
        <color theme="0" tint="-0.34998626667073579"/>
      </right>
      <top style="thin">
        <color theme="0"/>
      </top>
      <bottom/>
      <diagonal/>
    </border>
    <border>
      <left style="medium">
        <color theme="0" tint="-0.34998626667073579"/>
      </left>
      <right/>
      <top style="thin">
        <color theme="4"/>
      </top>
      <bottom/>
      <diagonal/>
    </border>
    <border>
      <left style="thin">
        <color theme="0" tint="-0.499984740745262"/>
      </left>
      <right/>
      <top style="thin">
        <color theme="4"/>
      </top>
      <bottom/>
      <diagonal/>
    </border>
    <border>
      <left style="thin">
        <color theme="0" tint="-0.24994659260841701"/>
      </left>
      <right/>
      <top style="thin">
        <color theme="4"/>
      </top>
      <bottom/>
      <diagonal/>
    </border>
    <border>
      <left style="thin">
        <color theme="0" tint="-0.24994659260841701"/>
      </left>
      <right style="medium">
        <color theme="0" tint="-0.34998626667073579"/>
      </right>
      <top style="thin">
        <color theme="4"/>
      </top>
      <bottom/>
      <diagonal/>
    </border>
    <border>
      <left style="medium">
        <color theme="0" tint="-0.34998626667073579"/>
      </left>
      <right/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medium">
        <color theme="0" tint="-0.3499862666707357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499984740745262"/>
      </left>
      <right/>
      <top style="medium">
        <color theme="0" tint="-0.34998626667073579"/>
      </top>
      <bottom style="thin">
        <color theme="4"/>
      </bottom>
      <diagonal/>
    </border>
    <border>
      <left/>
      <right/>
      <top style="medium">
        <color theme="0" tint="-0.34998626667073579"/>
      </top>
      <bottom style="thin">
        <color theme="4"/>
      </bottom>
      <diagonal/>
    </border>
    <border>
      <left/>
      <right style="thin">
        <color theme="0" tint="-0.499984740745262"/>
      </right>
      <top style="medium">
        <color theme="0" tint="-0.34998626667073579"/>
      </top>
      <bottom style="thin">
        <color theme="4"/>
      </bottom>
      <diagonal/>
    </border>
    <border>
      <left style="thin">
        <color theme="0" tint="-0.499984740745262"/>
      </left>
      <right/>
      <top style="thin">
        <color theme="4"/>
      </top>
      <bottom style="thin">
        <color theme="4"/>
      </bottom>
      <diagonal/>
    </border>
    <border>
      <left/>
      <right style="thin">
        <color theme="0" tint="-0.499984740745262"/>
      </right>
      <top style="thin">
        <color theme="4"/>
      </top>
      <bottom style="thin">
        <color theme="4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4"/>
      </bottom>
      <diagonal/>
    </border>
    <border>
      <left style="thin">
        <color rgb="FF595959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0" tint="-0.499984740745262"/>
      </right>
      <top style="thin">
        <color theme="4"/>
      </top>
      <bottom/>
      <diagonal/>
    </border>
    <border>
      <left style="thin">
        <color rgb="FF595959"/>
      </left>
      <right/>
      <top style="thin">
        <color theme="4"/>
      </top>
      <bottom/>
      <diagonal/>
    </border>
    <border>
      <left/>
      <right style="medium">
        <color theme="0" tint="-0.34998626667073579"/>
      </right>
      <top style="thin">
        <color theme="4"/>
      </top>
      <bottom/>
      <diagonal/>
    </border>
    <border>
      <left style="medium">
        <color theme="0" tint="-0.34998626667073579"/>
      </left>
      <right/>
      <top/>
      <bottom style="thick">
        <color theme="4"/>
      </bottom>
      <diagonal/>
    </border>
    <border>
      <left style="thin">
        <color theme="0" tint="-0.499984740745262"/>
      </left>
      <right/>
      <top/>
      <bottom style="thick">
        <color theme="4"/>
      </bottom>
      <diagonal/>
    </border>
    <border>
      <left/>
      <right/>
      <top/>
      <bottom style="thick">
        <color theme="4"/>
      </bottom>
      <diagonal/>
    </border>
    <border>
      <left/>
      <right style="thin">
        <color theme="0" tint="-0.499984740745262"/>
      </right>
      <top/>
      <bottom style="thick">
        <color theme="4"/>
      </bottom>
      <diagonal/>
    </border>
    <border>
      <left/>
      <right style="medium">
        <color theme="0" tint="-0.34998626667073579"/>
      </right>
      <top/>
      <bottom style="thick">
        <color theme="4"/>
      </bottom>
      <diagonal/>
    </border>
  </borders>
  <cellStyleXfs count="18">
    <xf numFmtId="0" fontId="0" fillId="0" borderId="0"/>
    <xf numFmtId="0" fontId="4" fillId="0" borderId="0" applyNumberFormat="0" applyFill="0" applyBorder="0" applyAlignment="0" applyProtection="0"/>
    <xf numFmtId="0" fontId="1" fillId="0" borderId="0" applyNumberFormat="0" applyAlignment="0" applyProtection="0"/>
    <xf numFmtId="0" fontId="10" fillId="9" borderId="3" applyNumberFormat="0" applyAlignment="0" applyProtection="0"/>
    <xf numFmtId="14" fontId="7" fillId="2" borderId="2" applyProtection="0">
      <alignment horizontal="center" vertical="center"/>
    </xf>
    <xf numFmtId="164" fontId="11" fillId="9" borderId="3" applyProtection="0">
      <alignment horizontal="center" vertical="center"/>
    </xf>
    <xf numFmtId="0" fontId="2" fillId="0" borderId="1" applyBorder="0">
      <alignment vertical="center"/>
    </xf>
    <xf numFmtId="0" fontId="3" fillId="0" borderId="0">
      <alignment horizontal="left" vertical="center" wrapText="1" indent="1"/>
    </xf>
    <xf numFmtId="0" fontId="5" fillId="0" borderId="0" applyNumberFormat="0" applyFont="0" applyFill="0" applyBorder="0">
      <alignment horizontal="left" vertical="top" wrapText="1" indent="1"/>
    </xf>
    <xf numFmtId="0" fontId="5" fillId="0" borderId="4" applyNumberFormat="0" applyFont="0" applyFill="0">
      <alignment horizontal="left" vertical="top" wrapText="1" indent="1"/>
    </xf>
    <xf numFmtId="0" fontId="9" fillId="0" borderId="0">
      <alignment horizontal="left" vertical="center" wrapText="1" indent="1"/>
    </xf>
    <xf numFmtId="164" fontId="8" fillId="4" borderId="3" applyNumberFormat="0" applyFont="0" applyBorder="0" applyAlignment="0">
      <alignment horizontal="center" vertical="center"/>
    </xf>
    <xf numFmtId="164" fontId="8" fillId="5" borderId="3" applyNumberFormat="0" applyFont="0" applyBorder="0" applyAlignment="0">
      <alignment horizontal="center" vertical="center"/>
    </xf>
    <xf numFmtId="164" fontId="8" fillId="6" borderId="3" applyNumberFormat="0" applyFont="0" applyBorder="0" applyAlignment="0">
      <alignment horizontal="center" vertical="center"/>
    </xf>
    <xf numFmtId="164" fontId="8" fillId="7" borderId="3" applyNumberFormat="0" applyFont="0" applyBorder="0" applyAlignment="0">
      <alignment horizontal="center" vertical="center"/>
    </xf>
    <xf numFmtId="164" fontId="8" fillId="2" borderId="3" applyNumberFormat="0" applyFont="0" applyBorder="0" applyAlignment="0">
      <alignment horizontal="center" vertical="center"/>
    </xf>
    <xf numFmtId="164" fontId="8" fillId="3" borderId="3" applyNumberFormat="0" applyFont="0" applyBorder="0" applyAlignment="0">
      <alignment horizontal="center" vertical="center"/>
    </xf>
    <xf numFmtId="164" fontId="8" fillId="8" borderId="3" applyNumberFormat="0" applyFont="0" applyBorder="0" applyAlignment="0">
      <alignment horizontal="center" vertical="center"/>
    </xf>
  </cellStyleXfs>
  <cellXfs count="88">
    <xf numFmtId="0" fontId="0" fillId="0" borderId="0" xfId="0"/>
    <xf numFmtId="0" fontId="4" fillId="0" borderId="0" xfId="1" applyAlignment="1">
      <alignment horizontal="left" indent="1"/>
    </xf>
    <xf numFmtId="0" fontId="1" fillId="0" borderId="0" xfId="2" applyAlignment="1">
      <alignment horizontal="center" vertical="center"/>
    </xf>
    <xf numFmtId="14" fontId="7" fillId="10" borderId="2" xfId="4" applyFill="1">
      <alignment horizontal="center" vertical="center"/>
    </xf>
    <xf numFmtId="0" fontId="18" fillId="0" borderId="8" xfId="9" applyFont="1" applyBorder="1">
      <alignment horizontal="left" vertical="top" wrapText="1" indent="1"/>
    </xf>
    <xf numFmtId="0" fontId="18" fillId="0" borderId="9" xfId="8" applyFont="1" applyBorder="1">
      <alignment horizontal="left" vertical="top" wrapText="1" indent="1"/>
    </xf>
    <xf numFmtId="0" fontId="18" fillId="0" borderId="10" xfId="9" applyFont="1" applyBorder="1">
      <alignment horizontal="left" vertical="top" wrapText="1" indent="1"/>
    </xf>
    <xf numFmtId="0" fontId="18" fillId="0" borderId="11" xfId="8" applyFont="1" applyBorder="1">
      <alignment horizontal="left" vertical="top" wrapText="1" indent="1"/>
    </xf>
    <xf numFmtId="49" fontId="15" fillId="0" borderId="12" xfId="7" applyNumberFormat="1" applyFont="1" applyBorder="1" applyAlignment="1">
      <alignment vertical="center" wrapText="1"/>
    </xf>
    <xf numFmtId="0" fontId="9" fillId="0" borderId="13" xfId="10" applyBorder="1">
      <alignment horizontal="left" vertical="center" wrapText="1" indent="1"/>
    </xf>
    <xf numFmtId="0" fontId="9" fillId="0" borderId="14" xfId="10" applyBorder="1">
      <alignment horizontal="left" vertical="center" wrapText="1" indent="1"/>
    </xf>
    <xf numFmtId="0" fontId="9" fillId="0" borderId="15" xfId="10" applyBorder="1">
      <alignment horizontal="left" vertical="center" wrapText="1" indent="1"/>
    </xf>
    <xf numFmtId="49" fontId="16" fillId="0" borderId="12" xfId="7" applyNumberFormat="1" applyFont="1" applyBorder="1" applyAlignment="1">
      <alignment vertical="center" wrapText="1"/>
    </xf>
    <xf numFmtId="0" fontId="12" fillId="0" borderId="13" xfId="10" applyFont="1" applyBorder="1">
      <alignment horizontal="left" vertical="center" wrapText="1" indent="1"/>
    </xf>
    <xf numFmtId="0" fontId="13" fillId="0" borderId="13" xfId="10" applyFont="1" applyBorder="1">
      <alignment horizontal="left" vertical="center" wrapText="1" indent="1"/>
    </xf>
    <xf numFmtId="49" fontId="16" fillId="0" borderId="12" xfId="7" applyNumberFormat="1" applyFont="1" applyBorder="1" applyAlignment="1">
      <alignment horizontal="left" vertical="center" wrapText="1"/>
    </xf>
    <xf numFmtId="49" fontId="15" fillId="0" borderId="16" xfId="7" applyNumberFormat="1" applyFont="1" applyBorder="1" applyAlignment="1">
      <alignment vertical="center" wrapText="1"/>
    </xf>
    <xf numFmtId="0" fontId="9" fillId="0" borderId="17" xfId="10" applyBorder="1">
      <alignment horizontal="left" vertical="center" wrapText="1" indent="1"/>
    </xf>
    <xf numFmtId="0" fontId="9" fillId="0" borderId="18" xfId="10" applyBorder="1">
      <alignment horizontal="left" vertical="center" wrapText="1" indent="1"/>
    </xf>
    <xf numFmtId="0" fontId="9" fillId="0" borderId="19" xfId="10" applyBorder="1">
      <alignment horizontal="left" vertical="center" wrapText="1" indent="1"/>
    </xf>
    <xf numFmtId="49" fontId="3" fillId="0" borderId="12" xfId="7" applyNumberFormat="1" applyBorder="1" applyAlignment="1">
      <alignment vertical="center" wrapText="1"/>
    </xf>
    <xf numFmtId="49" fontId="3" fillId="0" borderId="16" xfId="7" applyNumberFormat="1" applyBorder="1" applyAlignment="1">
      <alignment vertical="center" wrapText="1"/>
    </xf>
    <xf numFmtId="49" fontId="14" fillId="10" borderId="23" xfId="7" applyNumberFormat="1" applyFont="1" applyFill="1" applyBorder="1">
      <alignment horizontal="left" vertical="center" wrapText="1" indent="1"/>
    </xf>
    <xf numFmtId="49" fontId="23" fillId="0" borderId="37" xfId="7" applyNumberFormat="1" applyFont="1" applyBorder="1" applyAlignment="1">
      <alignment vertical="center" wrapText="1"/>
    </xf>
    <xf numFmtId="49" fontId="3" fillId="10" borderId="0" xfId="7" applyNumberFormat="1" applyFill="1">
      <alignment horizontal="left" vertical="center" wrapText="1" indent="1"/>
    </xf>
    <xf numFmtId="0" fontId="20" fillId="2" borderId="0" xfId="10" applyFont="1" applyFill="1">
      <alignment horizontal="left" vertical="center" wrapText="1" indent="1"/>
    </xf>
    <xf numFmtId="0" fontId="9" fillId="3" borderId="0" xfId="10" applyFill="1">
      <alignment horizontal="left" vertical="center" wrapText="1" indent="1"/>
    </xf>
    <xf numFmtId="0" fontId="9" fillId="8" borderId="0" xfId="10" applyFill="1">
      <alignment horizontal="left" vertical="center" wrapText="1" indent="1"/>
    </xf>
    <xf numFmtId="0" fontId="9" fillId="6" borderId="0" xfId="10" applyFill="1">
      <alignment horizontal="left" vertical="center" wrapText="1" indent="1"/>
    </xf>
    <xf numFmtId="0" fontId="9" fillId="5" borderId="0" xfId="10" applyFill="1">
      <alignment horizontal="left" vertical="center" wrapText="1" indent="1"/>
    </xf>
    <xf numFmtId="0" fontId="9" fillId="4" borderId="0" xfId="10" applyFill="1">
      <alignment horizontal="left" vertical="center" wrapText="1" indent="1"/>
    </xf>
    <xf numFmtId="0" fontId="9" fillId="7" borderId="0" xfId="10" applyFill="1">
      <alignment horizontal="left" vertical="center" wrapText="1" indent="1"/>
    </xf>
    <xf numFmtId="0" fontId="22" fillId="0" borderId="38" xfId="10" applyFont="1" applyBorder="1" applyAlignment="1">
      <alignment horizontal="right" vertical="center" wrapText="1" indent="1"/>
    </xf>
    <xf numFmtId="0" fontId="22" fillId="0" borderId="39" xfId="10" applyFont="1" applyBorder="1" applyAlignment="1">
      <alignment horizontal="right" vertical="center" wrapText="1" indent="1"/>
    </xf>
    <xf numFmtId="0" fontId="22" fillId="0" borderId="40" xfId="10" applyFont="1" applyBorder="1" applyAlignment="1">
      <alignment horizontal="right" vertical="center" wrapText="1" indent="1"/>
    </xf>
    <xf numFmtId="0" fontId="22" fillId="0" borderId="38" xfId="10" applyFont="1" applyBorder="1" applyAlignment="1">
      <alignment horizontal="center" vertical="center" wrapText="1"/>
    </xf>
    <xf numFmtId="0" fontId="22" fillId="0" borderId="41" xfId="10" applyFont="1" applyBorder="1" applyAlignment="1">
      <alignment horizontal="center" vertical="center" wrapText="1"/>
    </xf>
    <xf numFmtId="49" fontId="8" fillId="10" borderId="24" xfId="7" applyNumberFormat="1" applyFont="1" applyFill="1" applyBorder="1">
      <alignment horizontal="left" vertical="center" wrapText="1" indent="1"/>
    </xf>
    <xf numFmtId="49" fontId="8" fillId="10" borderId="25" xfId="7" applyNumberFormat="1" applyFont="1" applyFill="1" applyBorder="1">
      <alignment horizontal="left" vertical="center" wrapText="1" indent="1"/>
    </xf>
    <xf numFmtId="0" fontId="22" fillId="0" borderId="26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2" xfId="10" applyFont="1" applyBorder="1">
      <alignment horizontal="left" vertical="center" wrapText="1" indent="1"/>
    </xf>
    <xf numFmtId="0" fontId="22" fillId="0" borderId="7" xfId="10" applyFont="1" applyBorder="1">
      <alignment horizontal="left" vertical="center" wrapText="1" indent="1"/>
    </xf>
    <xf numFmtId="0" fontId="22" fillId="0" borderId="35" xfId="10" applyFont="1" applyBorder="1">
      <alignment horizontal="left" vertical="center" wrapText="1" indent="1"/>
    </xf>
    <xf numFmtId="0" fontId="22" fillId="0" borderId="36" xfId="10" applyFont="1" applyBorder="1">
      <alignment horizontal="left" vertical="center" wrapText="1" indent="1"/>
    </xf>
    <xf numFmtId="49" fontId="14" fillId="10" borderId="24" xfId="7" applyNumberFormat="1" applyFont="1" applyFill="1" applyBorder="1">
      <alignment horizontal="left" vertical="center" wrapText="1" indent="1"/>
    </xf>
    <xf numFmtId="49" fontId="21" fillId="0" borderId="29" xfId="10" applyNumberFormat="1" applyFont="1" applyBorder="1" applyAlignment="1">
      <alignment horizontal="left" vertical="center" wrapText="1"/>
    </xf>
    <xf numFmtId="49" fontId="21" fillId="0" borderId="6" xfId="10" applyNumberFormat="1" applyFont="1" applyBorder="1" applyAlignment="1">
      <alignment horizontal="left" vertical="center" wrapText="1"/>
    </xf>
    <xf numFmtId="49" fontId="21" fillId="0" borderId="30" xfId="10" applyNumberFormat="1" applyFont="1" applyBorder="1" applyAlignment="1">
      <alignment horizontal="left" vertical="center" wrapText="1"/>
    </xf>
    <xf numFmtId="49" fontId="26" fillId="0" borderId="13" xfId="10" applyNumberFormat="1" applyFont="1" applyBorder="1" applyAlignment="1">
      <alignment horizontal="left" vertical="center" wrapText="1"/>
    </xf>
    <xf numFmtId="49" fontId="26" fillId="0" borderId="33" xfId="10" applyNumberFormat="1" applyFont="1" applyBorder="1" applyAlignment="1">
      <alignment horizontal="left" vertical="center" wrapText="1"/>
    </xf>
    <xf numFmtId="49" fontId="26" fillId="0" borderId="34" xfId="10" applyNumberFormat="1" applyFont="1" applyBorder="1" applyAlignment="1">
      <alignment horizontal="left" vertical="center" wrapText="1"/>
    </xf>
    <xf numFmtId="0" fontId="22" fillId="0" borderId="29" xfId="10" applyFont="1" applyBorder="1">
      <alignment horizontal="left" vertical="center" wrapText="1" indent="1"/>
    </xf>
    <xf numFmtId="0" fontId="22" fillId="0" borderId="6" xfId="10" applyFont="1" applyBorder="1">
      <alignment horizontal="left" vertical="center" wrapText="1" indent="1"/>
    </xf>
    <xf numFmtId="0" fontId="22" fillId="0" borderId="13" xfId="10" applyFont="1" applyBorder="1">
      <alignment horizontal="left" vertical="center" wrapText="1" indent="1"/>
    </xf>
    <xf numFmtId="0" fontId="22" fillId="0" borderId="33" xfId="10" applyFont="1" applyBorder="1">
      <alignment horizontal="left" vertical="center" wrapText="1" indent="1"/>
    </xf>
    <xf numFmtId="49" fontId="14" fillId="10" borderId="20" xfId="7" applyNumberFormat="1" applyFont="1" applyFill="1" applyBorder="1">
      <alignment horizontal="left" vertical="center" wrapText="1" indent="1"/>
    </xf>
    <xf numFmtId="49" fontId="14" fillId="10" borderId="21" xfId="7" applyNumberFormat="1" applyFont="1" applyFill="1" applyBorder="1">
      <alignment horizontal="left" vertical="center" wrapText="1" indent="1"/>
    </xf>
    <xf numFmtId="49" fontId="14" fillId="10" borderId="22" xfId="7" applyNumberFormat="1" applyFont="1" applyFill="1" applyBorder="1">
      <alignment horizontal="left" vertical="center" wrapText="1" indent="1"/>
    </xf>
    <xf numFmtId="0" fontId="19" fillId="10" borderId="0" xfId="1" applyFont="1" applyFill="1" applyAlignment="1">
      <alignment horizontal="left" indent="1"/>
    </xf>
    <xf numFmtId="49" fontId="21" fillId="0" borderId="26" xfId="0" applyNumberFormat="1" applyFont="1" applyBorder="1" applyAlignment="1">
      <alignment horizontal="left" vertical="center"/>
    </xf>
    <xf numFmtId="49" fontId="21" fillId="0" borderId="27" xfId="0" applyNumberFormat="1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4" fillId="0" borderId="29" xfId="10" applyNumberFormat="1" applyFont="1" applyBorder="1" applyAlignment="1">
      <alignment horizontal="left" vertical="center" wrapText="1"/>
    </xf>
    <xf numFmtId="49" fontId="25" fillId="0" borderId="6" xfId="10" applyNumberFormat="1" applyFont="1" applyBorder="1" applyAlignment="1">
      <alignment horizontal="left" vertical="center" wrapText="1"/>
    </xf>
    <xf numFmtId="49" fontId="25" fillId="0" borderId="30" xfId="10" applyNumberFormat="1" applyFont="1" applyBorder="1" applyAlignment="1">
      <alignment horizontal="left" vertical="center" wrapText="1"/>
    </xf>
    <xf numFmtId="164" fontId="8" fillId="8" borderId="3" xfId="17">
      <alignment horizontal="center" vertical="center"/>
    </xf>
    <xf numFmtId="164" fontId="8" fillId="3" borderId="3" xfId="16">
      <alignment horizontal="center" vertical="center"/>
    </xf>
    <xf numFmtId="164" fontId="8" fillId="4" borderId="3" xfId="11">
      <alignment horizontal="center" vertical="center"/>
    </xf>
    <xf numFmtId="0" fontId="6" fillId="8" borderId="3" xfId="17" applyNumberFormat="1" applyFont="1" applyAlignment="1">
      <alignment horizontal="center" vertical="center"/>
    </xf>
    <xf numFmtId="0" fontId="6" fillId="8" borderId="5" xfId="17" applyNumberFormat="1" applyFont="1" applyBorder="1" applyAlignment="1">
      <alignment horizontal="center" vertical="center"/>
    </xf>
    <xf numFmtId="0" fontId="6" fillId="3" borderId="3" xfId="16" applyNumberFormat="1" applyFont="1" applyAlignment="1">
      <alignment horizontal="center" vertical="center"/>
    </xf>
    <xf numFmtId="0" fontId="6" fillId="3" borderId="5" xfId="16" applyNumberFormat="1" applyFont="1" applyBorder="1" applyAlignment="1">
      <alignment horizontal="center" vertical="center"/>
    </xf>
    <xf numFmtId="0" fontId="6" fillId="2" borderId="3" xfId="15" applyNumberFormat="1" applyFont="1" applyAlignment="1">
      <alignment horizontal="center" vertical="center"/>
    </xf>
    <xf numFmtId="0" fontId="6" fillId="2" borderId="5" xfId="15" applyNumberFormat="1" applyFont="1" applyBorder="1" applyAlignment="1">
      <alignment horizontal="center" vertical="center"/>
    </xf>
    <xf numFmtId="164" fontId="8" fillId="2" borderId="3" xfId="15">
      <alignment horizontal="center" vertical="center"/>
    </xf>
    <xf numFmtId="164" fontId="8" fillId="7" borderId="3" xfId="14">
      <alignment horizontal="center" vertical="center"/>
    </xf>
    <xf numFmtId="0" fontId="6" fillId="4" borderId="3" xfId="11" applyNumberFormat="1" applyFont="1" applyAlignment="1">
      <alignment horizontal="center" vertical="center"/>
    </xf>
    <xf numFmtId="0" fontId="6" fillId="4" borderId="0" xfId="11" applyNumberFormat="1" applyFont="1" applyBorder="1" applyAlignment="1">
      <alignment horizontal="center" vertical="center"/>
    </xf>
    <xf numFmtId="0" fontId="6" fillId="7" borderId="3" xfId="14" applyNumberFormat="1" applyFont="1" applyAlignment="1">
      <alignment horizontal="center" vertical="center"/>
    </xf>
    <xf numFmtId="0" fontId="6" fillId="7" borderId="5" xfId="14" applyNumberFormat="1" applyFont="1" applyBorder="1" applyAlignment="1">
      <alignment horizontal="center" vertical="center"/>
    </xf>
    <xf numFmtId="0" fontId="6" fillId="6" borderId="3" xfId="13" applyNumberFormat="1" applyFont="1" applyAlignment="1">
      <alignment horizontal="center" vertical="center"/>
    </xf>
    <xf numFmtId="0" fontId="6" fillId="6" borderId="5" xfId="13" applyNumberFormat="1" applyFont="1" applyBorder="1" applyAlignment="1">
      <alignment horizontal="center" vertical="center"/>
    </xf>
    <xf numFmtId="0" fontId="6" fillId="5" borderId="3" xfId="12" applyNumberFormat="1" applyFont="1" applyAlignment="1">
      <alignment horizontal="center" vertical="center"/>
    </xf>
    <xf numFmtId="0" fontId="6" fillId="5" borderId="5" xfId="12" applyNumberFormat="1" applyFont="1" applyBorder="1" applyAlignment="1">
      <alignment horizontal="center" vertical="center"/>
    </xf>
    <xf numFmtId="164" fontId="8" fillId="6" borderId="3" xfId="13">
      <alignment horizontal="center" vertical="center"/>
    </xf>
    <xf numFmtId="164" fontId="8" fillId="5" borderId="3" xfId="12">
      <alignment horizontal="center" vertical="center"/>
    </xf>
  </cellXfs>
  <cellStyles count="18">
    <cellStyle name="Border Right" xfId="9" xr:uid="{00000000-0005-0000-0000-000000000000}"/>
    <cellStyle name="Calculation" xfId="6" builtinId="22" hidden="1" customBuiltin="1"/>
    <cellStyle name="Chore Column Style" xfId="7" xr:uid="{00000000-0005-0000-0000-000002000000}"/>
    <cellStyle name="Chore Heading" xfId="8" xr:uid="{00000000-0005-0000-0000-000003000000}"/>
    <cellStyle name="Color Day 1" xfId="17" xr:uid="{00000000-0005-0000-0000-000004000000}"/>
    <cellStyle name="Color Day 2" xfId="16" xr:uid="{00000000-0005-0000-0000-000005000000}"/>
    <cellStyle name="Color Day 3" xfId="15" xr:uid="{00000000-0005-0000-0000-000006000000}"/>
    <cellStyle name="Color Day 4" xfId="14" xr:uid="{00000000-0005-0000-0000-000007000000}"/>
    <cellStyle name="Color Day 5" xfId="13" xr:uid="{00000000-0005-0000-0000-000008000000}"/>
    <cellStyle name="Color Day 6" xfId="12" xr:uid="{00000000-0005-0000-0000-000009000000}"/>
    <cellStyle name="Color Day 7" xfId="11" xr:uid="{00000000-0005-0000-0000-00000A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Table Details" xfId="10" xr:uid="{00000000-0005-0000-0000-000010000000}"/>
    <cellStyle name="Title" xfId="1" builtinId="15" customBuiltin="1"/>
  </cellStyles>
  <dxfs count="3">
    <dxf>
      <border>
        <left style="thin">
          <color theme="0" tint="-0.499984740745262"/>
        </left>
        <right style="thin">
          <color theme="0" tint="-0.24994659260841701"/>
        </right>
      </border>
    </dxf>
    <dxf>
      <font>
        <b/>
        <i val="0"/>
        <color theme="2" tint="-0.749961851863155"/>
      </font>
      <border>
        <left style="medium">
          <color theme="0" tint="-0.34998626667073579"/>
        </left>
        <right style="medium">
          <color theme="0" tint="-0.34998626667073579"/>
        </right>
        <bottom style="thick">
          <color theme="4"/>
        </bottom>
        <vertical style="medium">
          <color theme="0"/>
        </vertical>
      </border>
    </dxf>
    <dxf>
      <font>
        <b val="0"/>
        <i val="0"/>
      </font>
      <border>
        <left style="medium">
          <color theme="0" tint="-0.34998626667073579"/>
        </left>
        <right style="medium">
          <color theme="0" tint="-0.34998626667073579"/>
        </right>
        <top style="thin">
          <color theme="0"/>
        </top>
        <bottom style="thick">
          <color theme="4"/>
        </bottom>
        <vertical/>
        <horizontal style="thin">
          <color theme="4"/>
        </horizontal>
      </border>
    </dxf>
  </dxfs>
  <tableStyles count="1" defaultTableStyle="ChoreTableStyle" defaultPivotStyle="PivotStyleLight16">
    <tableStyle name="ChoreTableStyle" pivot="0" count="3" xr9:uid="{00000000-0011-0000-FFFF-FFFF00000000}">
      <tableStyleElement type="wholeTable" dxfId="2"/>
      <tableStyleElement type="headerRow" dxfId="1"/>
      <tableStyleElement type="secondColumnStripe" dxfId="0"/>
    </tableStyle>
  </tableStyles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27D80"/>
      </a:dk2>
      <a:lt2>
        <a:srgbClr val="E3DED1"/>
      </a:lt2>
      <a:accent1>
        <a:srgbClr val="CC4D0E"/>
      </a:accent1>
      <a:accent2>
        <a:srgbClr val="9F2936"/>
      </a:accent2>
      <a:accent3>
        <a:srgbClr val="1B587C"/>
      </a:accent3>
      <a:accent4>
        <a:srgbClr val="45763A"/>
      </a:accent4>
      <a:accent5>
        <a:srgbClr val="604878"/>
      </a:accent5>
      <a:accent6>
        <a:srgbClr val="CB2383"/>
      </a:accent6>
      <a:hlink>
        <a:srgbClr val="6B9F25"/>
      </a:hlink>
      <a:folHlink>
        <a:srgbClr val="B26B02"/>
      </a:folHlink>
    </a:clrScheme>
    <a:fontScheme name="Chore Schedul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P20"/>
  <sheetViews>
    <sheetView showGridLines="0" tabSelected="1" zoomScaleNormal="100" zoomScaleSheetLayoutView="100" zoomScalePageLayoutView="90" workbookViewId="0">
      <selection activeCell="O19" sqref="B1:P19"/>
    </sheetView>
  </sheetViews>
  <sheetFormatPr defaultRowHeight="39.950000000000003" customHeight="1" x14ac:dyDescent="0.25"/>
  <cols>
    <col min="1" max="1" width="2.7109375" customWidth="1"/>
    <col min="2" max="2" width="41.42578125" customWidth="1"/>
    <col min="3" max="3" width="15.7109375" customWidth="1"/>
    <col min="4" max="4" width="8.7109375" customWidth="1"/>
    <col min="5" max="5" width="15.7109375" customWidth="1"/>
    <col min="6" max="6" width="8.7109375" customWidth="1"/>
    <col min="7" max="7" width="15.7109375" customWidth="1"/>
    <col min="8" max="8" width="8.7109375" customWidth="1"/>
    <col min="9" max="9" width="15.7109375" customWidth="1"/>
    <col min="10" max="10" width="8.7109375" customWidth="1"/>
    <col min="11" max="11" width="15.7109375" customWidth="1"/>
    <col min="12" max="12" width="8.7109375" customWidth="1"/>
    <col min="13" max="13" width="15.7109375" customWidth="1"/>
    <col min="14" max="14" width="8.7109375" customWidth="1"/>
    <col min="15" max="15" width="15.7109375" customWidth="1"/>
    <col min="16" max="16" width="8.7109375" customWidth="1"/>
    <col min="17" max="17" width="2.5703125" customWidth="1"/>
  </cols>
  <sheetData>
    <row r="1" spans="1:16" ht="45" customHeight="1" x14ac:dyDescent="0.7">
      <c r="A1" s="1"/>
      <c r="B1" s="60" t="s">
        <v>2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</row>
    <row r="2" spans="1:16" ht="30" customHeight="1" x14ac:dyDescent="0.25">
      <c r="A2" t="s">
        <v>3</v>
      </c>
      <c r="B2" s="2" t="s">
        <v>0</v>
      </c>
      <c r="C2" s="70" t="str">
        <f>UPPER(TEXT(StartDate,"aaa"))</f>
        <v>MON</v>
      </c>
      <c r="D2" s="71"/>
      <c r="E2" s="72" t="str">
        <f>UPPER(TEXT(StartDate+1,"aaa"))</f>
        <v>TUE</v>
      </c>
      <c r="F2" s="73"/>
      <c r="G2" s="74" t="str">
        <f>UPPER(TEXT(StartDate+2,"aaa"))</f>
        <v>WED</v>
      </c>
      <c r="H2" s="75"/>
      <c r="I2" s="80" t="str">
        <f>UPPER(TEXT(StartDate+3,"aaa"))</f>
        <v>THU</v>
      </c>
      <c r="J2" s="81"/>
      <c r="K2" s="82" t="str">
        <f>UPPER(TEXT(StartDate+4,"aaa"))</f>
        <v>FRI</v>
      </c>
      <c r="L2" s="83"/>
      <c r="M2" s="84" t="str">
        <f>UPPER(TEXT(StartDate+5,"aaa"))</f>
        <v>SAT</v>
      </c>
      <c r="N2" s="85"/>
      <c r="O2" s="78" t="str">
        <f>UPPER(TEXT(StartDate+6,"aaa"))</f>
        <v>SUN</v>
      </c>
      <c r="P2" s="79"/>
    </row>
    <row r="3" spans="1:16" ht="39.950000000000003" customHeight="1" x14ac:dyDescent="0.25">
      <c r="B3" s="3">
        <v>46314</v>
      </c>
      <c r="C3" s="67">
        <f>StartDate</f>
        <v>46314</v>
      </c>
      <c r="D3" s="67"/>
      <c r="E3" s="68">
        <f>StartDate+1</f>
        <v>46315</v>
      </c>
      <c r="F3" s="68"/>
      <c r="G3" s="76">
        <f>StartDate+2</f>
        <v>46316</v>
      </c>
      <c r="H3" s="76"/>
      <c r="I3" s="77">
        <f>StartDate+3</f>
        <v>46317</v>
      </c>
      <c r="J3" s="77"/>
      <c r="K3" s="86">
        <f>StartDate+4</f>
        <v>46318</v>
      </c>
      <c r="L3" s="86"/>
      <c r="M3" s="87">
        <f>StartDate+5</f>
        <v>46319</v>
      </c>
      <c r="N3" s="87"/>
      <c r="O3" s="69">
        <f>StartDate+6</f>
        <v>46320</v>
      </c>
      <c r="P3" s="69"/>
    </row>
    <row r="4" spans="1:16" ht="15" customHeight="1" x14ac:dyDescent="0.25">
      <c r="B4" s="4" t="s">
        <v>1</v>
      </c>
      <c r="C4" s="5" t="s">
        <v>4</v>
      </c>
      <c r="D4" s="6" t="s">
        <v>11</v>
      </c>
      <c r="E4" s="5" t="s">
        <v>5</v>
      </c>
      <c r="F4" s="6" t="s">
        <v>12</v>
      </c>
      <c r="G4" s="5" t="s">
        <v>6</v>
      </c>
      <c r="H4" s="6" t="s">
        <v>13</v>
      </c>
      <c r="I4" s="5" t="s">
        <v>7</v>
      </c>
      <c r="J4" s="6" t="s">
        <v>14</v>
      </c>
      <c r="K4" s="5" t="s">
        <v>8</v>
      </c>
      <c r="L4" s="6" t="s">
        <v>15</v>
      </c>
      <c r="M4" s="5" t="s">
        <v>9</v>
      </c>
      <c r="N4" s="6" t="s">
        <v>16</v>
      </c>
      <c r="O4" s="5" t="s">
        <v>10</v>
      </c>
      <c r="P4" s="7" t="s">
        <v>17</v>
      </c>
    </row>
    <row r="5" spans="1:16" ht="39.950000000000003" customHeight="1" x14ac:dyDescent="0.25">
      <c r="B5" s="57" t="s">
        <v>21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9"/>
    </row>
    <row r="6" spans="1:16" ht="39.950000000000003" customHeight="1" x14ac:dyDescent="0.25">
      <c r="B6" s="16" t="s">
        <v>18</v>
      </c>
      <c r="C6" s="17"/>
      <c r="D6" s="18"/>
      <c r="E6" s="17"/>
      <c r="F6" s="18"/>
      <c r="G6" s="17"/>
      <c r="H6" s="18"/>
      <c r="I6" s="17"/>
      <c r="J6" s="18"/>
      <c r="K6" s="17"/>
      <c r="L6" s="18"/>
      <c r="M6" s="17"/>
      <c r="N6" s="18"/>
      <c r="O6" s="17"/>
      <c r="P6" s="19"/>
    </row>
    <row r="7" spans="1:16" ht="39.950000000000003" customHeight="1" x14ac:dyDescent="0.25">
      <c r="B7" s="8" t="s">
        <v>19</v>
      </c>
      <c r="C7" s="9"/>
      <c r="D7" s="10"/>
      <c r="E7" s="9"/>
      <c r="F7" s="10"/>
      <c r="G7" s="9"/>
      <c r="H7" s="10"/>
      <c r="I7" s="9"/>
      <c r="J7" s="10"/>
      <c r="K7" s="9"/>
      <c r="L7" s="10"/>
      <c r="M7" s="9"/>
      <c r="N7" s="10"/>
      <c r="O7" s="9"/>
      <c r="P7" s="11"/>
    </row>
    <row r="8" spans="1:16" ht="39.950000000000003" customHeight="1" x14ac:dyDescent="0.25">
      <c r="B8" s="12" t="s">
        <v>24</v>
      </c>
      <c r="C8" s="9"/>
      <c r="D8" s="10"/>
      <c r="E8" s="9"/>
      <c r="F8" s="10"/>
      <c r="G8" s="9"/>
      <c r="H8" s="10"/>
      <c r="I8" s="9"/>
      <c r="J8" s="10"/>
      <c r="K8" s="9"/>
      <c r="L8" s="10"/>
      <c r="M8" s="9"/>
      <c r="N8" s="10"/>
      <c r="O8" s="9"/>
      <c r="P8" s="11"/>
    </row>
    <row r="9" spans="1:16" ht="39.950000000000003" customHeight="1" x14ac:dyDescent="0.25">
      <c r="B9" s="12" t="s">
        <v>20</v>
      </c>
      <c r="C9" s="13"/>
      <c r="D9" s="10"/>
      <c r="E9" s="14"/>
      <c r="F9" s="10"/>
      <c r="G9" s="13"/>
      <c r="H9" s="10"/>
      <c r="I9" s="14"/>
      <c r="J9" s="10"/>
      <c r="K9" s="14"/>
      <c r="L9" s="10"/>
      <c r="M9" s="14"/>
      <c r="N9" s="10"/>
      <c r="O9" s="9"/>
      <c r="P9" s="11"/>
    </row>
    <row r="10" spans="1:16" ht="39.950000000000003" customHeight="1" thickBot="1" x14ac:dyDescent="0.3">
      <c r="B10" s="15" t="s">
        <v>25</v>
      </c>
      <c r="C10" s="9"/>
      <c r="D10" s="10"/>
      <c r="E10" s="9"/>
      <c r="F10" s="10"/>
      <c r="G10" s="9"/>
      <c r="H10" s="10"/>
      <c r="I10" s="9"/>
      <c r="J10" s="10"/>
      <c r="K10" s="9"/>
      <c r="L10" s="10"/>
      <c r="M10" s="9"/>
      <c r="N10" s="10"/>
      <c r="O10" s="9"/>
      <c r="P10" s="11"/>
    </row>
    <row r="11" spans="1:16" ht="39.950000000000003" customHeight="1" thickBot="1" x14ac:dyDescent="0.3">
      <c r="B11" s="22" t="s">
        <v>22</v>
      </c>
      <c r="C11" s="37" t="s">
        <v>30</v>
      </c>
      <c r="D11" s="46"/>
      <c r="E11" s="46"/>
      <c r="F11" s="46"/>
      <c r="G11" s="46"/>
      <c r="H11" s="46"/>
      <c r="I11" s="46"/>
      <c r="J11" s="46"/>
      <c r="K11" s="37" t="s">
        <v>35</v>
      </c>
      <c r="L11" s="37"/>
      <c r="M11" s="37"/>
      <c r="N11" s="37"/>
      <c r="O11" s="37"/>
      <c r="P11" s="38"/>
    </row>
    <row r="12" spans="1:16" ht="39.950000000000003" customHeight="1" thickBot="1" x14ac:dyDescent="0.3">
      <c r="B12" s="21" t="s">
        <v>23</v>
      </c>
      <c r="C12" s="61" t="s">
        <v>36</v>
      </c>
      <c r="D12" s="62"/>
      <c r="E12" s="62"/>
      <c r="F12" s="62"/>
      <c r="G12" s="62"/>
      <c r="H12" s="62"/>
      <c r="I12" s="62"/>
      <c r="J12" s="63"/>
      <c r="K12" s="39" t="s">
        <v>34</v>
      </c>
      <c r="L12" s="40"/>
      <c r="M12" s="40"/>
      <c r="N12" s="40"/>
      <c r="O12" s="40"/>
      <c r="P12" s="41"/>
    </row>
    <row r="13" spans="1:16" ht="39.950000000000003" customHeight="1" x14ac:dyDescent="0.25">
      <c r="B13" s="8" t="s">
        <v>28</v>
      </c>
      <c r="C13" s="64" t="s">
        <v>37</v>
      </c>
      <c r="D13" s="65"/>
      <c r="E13" s="65"/>
      <c r="F13" s="65"/>
      <c r="G13" s="65"/>
      <c r="H13" s="65"/>
      <c r="I13" s="65"/>
      <c r="J13" s="66"/>
      <c r="K13" s="39" t="s">
        <v>34</v>
      </c>
      <c r="L13" s="40"/>
      <c r="M13" s="40"/>
      <c r="N13" s="40"/>
      <c r="O13" s="40"/>
      <c r="P13" s="41"/>
    </row>
    <row r="14" spans="1:16" ht="39.950000000000003" customHeight="1" x14ac:dyDescent="0.25">
      <c r="B14" s="20" t="s">
        <v>27</v>
      </c>
      <c r="C14" s="47" t="s">
        <v>29</v>
      </c>
      <c r="D14" s="48"/>
      <c r="E14" s="48"/>
      <c r="F14" s="48"/>
      <c r="G14" s="48"/>
      <c r="H14" s="48"/>
      <c r="I14" s="48"/>
      <c r="J14" s="49"/>
      <c r="K14" s="53" t="s">
        <v>40</v>
      </c>
      <c r="L14" s="54"/>
      <c r="M14" s="54"/>
      <c r="N14" s="54"/>
      <c r="O14" s="42" t="s">
        <v>39</v>
      </c>
      <c r="P14" s="43"/>
    </row>
    <row r="15" spans="1:16" ht="39.950000000000003" customHeight="1" x14ac:dyDescent="0.25">
      <c r="B15" s="8" t="s">
        <v>26</v>
      </c>
      <c r="C15" s="50" t="s">
        <v>38</v>
      </c>
      <c r="D15" s="51"/>
      <c r="E15" s="51"/>
      <c r="F15" s="51"/>
      <c r="G15" s="51"/>
      <c r="H15" s="51"/>
      <c r="I15" s="51"/>
      <c r="J15" s="52"/>
      <c r="K15" s="55" t="s">
        <v>40</v>
      </c>
      <c r="L15" s="56"/>
      <c r="M15" s="56"/>
      <c r="N15" s="56"/>
      <c r="O15" s="44" t="s">
        <v>39</v>
      </c>
      <c r="P15" s="45"/>
    </row>
    <row r="16" spans="1:16" ht="39.950000000000003" customHeight="1" x14ac:dyDescent="0.25">
      <c r="B16" s="24"/>
      <c r="C16" s="27"/>
      <c r="D16" s="27"/>
      <c r="E16" s="26"/>
      <c r="F16" s="26"/>
      <c r="G16" s="25"/>
      <c r="H16" s="25"/>
      <c r="I16" s="31"/>
      <c r="J16" s="31"/>
      <c r="K16" s="28"/>
      <c r="L16" s="28"/>
      <c r="M16" s="29"/>
      <c r="N16" s="29"/>
      <c r="O16" s="30"/>
      <c r="P16" s="30"/>
    </row>
    <row r="17" spans="2:16" ht="39.950000000000003" customHeight="1" x14ac:dyDescent="0.25">
      <c r="B17" s="24"/>
      <c r="C17" s="27"/>
      <c r="D17" s="27"/>
      <c r="E17" s="26"/>
      <c r="F17" s="26"/>
      <c r="G17" s="25"/>
      <c r="H17" s="25"/>
      <c r="I17" s="31"/>
      <c r="J17" s="31"/>
      <c r="K17" s="28"/>
      <c r="L17" s="28"/>
      <c r="M17" s="29"/>
      <c r="N17" s="29"/>
      <c r="O17" s="30"/>
      <c r="P17" s="30"/>
    </row>
    <row r="18" spans="2:16" ht="39.950000000000003" customHeight="1" x14ac:dyDescent="0.25">
      <c r="B18" s="24"/>
      <c r="C18" s="27"/>
      <c r="D18" s="27"/>
      <c r="E18" s="26"/>
      <c r="F18" s="26"/>
      <c r="G18" s="25"/>
      <c r="H18" s="25"/>
      <c r="I18" s="31"/>
      <c r="J18" s="31"/>
      <c r="K18" s="28"/>
      <c r="L18" s="28"/>
      <c r="M18" s="29"/>
      <c r="N18" s="29"/>
      <c r="O18" s="30"/>
      <c r="P18" s="30"/>
    </row>
    <row r="19" spans="2:16" ht="39.950000000000003" customHeight="1" thickBot="1" x14ac:dyDescent="0.3">
      <c r="B19" s="23" t="s">
        <v>31</v>
      </c>
      <c r="C19" s="32" t="s">
        <v>32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4"/>
      <c r="O19" s="35" t="s">
        <v>33</v>
      </c>
      <c r="P19" s="36"/>
    </row>
    <row r="20" spans="2:16" ht="39.950000000000003" customHeight="1" thickTop="1" x14ac:dyDescent="0.25"/>
  </sheetData>
  <mergeCells count="37">
    <mergeCell ref="K3:L3"/>
    <mergeCell ref="M3:N3"/>
    <mergeCell ref="B5:P5"/>
    <mergeCell ref="B1:P1"/>
    <mergeCell ref="C12:J12"/>
    <mergeCell ref="C13:J13"/>
    <mergeCell ref="C3:D3"/>
    <mergeCell ref="E3:F3"/>
    <mergeCell ref="O3:P3"/>
    <mergeCell ref="C2:D2"/>
    <mergeCell ref="E2:F2"/>
    <mergeCell ref="G2:H2"/>
    <mergeCell ref="G3:H3"/>
    <mergeCell ref="I3:J3"/>
    <mergeCell ref="O2:P2"/>
    <mergeCell ref="I2:J2"/>
    <mergeCell ref="K2:L2"/>
    <mergeCell ref="M2:N2"/>
    <mergeCell ref="O16:P18"/>
    <mergeCell ref="I16:J18"/>
    <mergeCell ref="C19:N19"/>
    <mergeCell ref="O19:P19"/>
    <mergeCell ref="K11:P11"/>
    <mergeCell ref="K12:P12"/>
    <mergeCell ref="K13:P13"/>
    <mergeCell ref="O14:P14"/>
    <mergeCell ref="O15:P15"/>
    <mergeCell ref="C11:J11"/>
    <mergeCell ref="C14:J14"/>
    <mergeCell ref="C15:J15"/>
    <mergeCell ref="K14:N14"/>
    <mergeCell ref="K15:N15"/>
    <mergeCell ref="G16:H18"/>
    <mergeCell ref="E16:F18"/>
    <mergeCell ref="C16:D18"/>
    <mergeCell ref="K16:L18"/>
    <mergeCell ref="M16:N18"/>
  </mergeCells>
  <dataValidations xWindow="303" yWindow="504" count="11">
    <dataValidation allowBlank="1" showInputMessage="1" showErrorMessage="1" prompt="Enter weekly chores in the Chore Schedule table. Enter the week date for the chore schedule in B3. The table contains a column for the name to assign each chore for any given day of the week and a column to mark the chore done when it is completed" sqref="A1" xr:uid="{00000000-0002-0000-0000-000000000000}"/>
    <dataValidation allowBlank="1" showInputMessage="1" showErrorMessage="1" prompt="Enter the starting date of the week for the Chore Schedule in this cell" sqref="B3" xr:uid="{00000000-0002-0000-0000-000001000000}"/>
    <dataValidation allowBlank="1" showInputMessage="1" showErrorMessage="1" prompt="Enter each chore task in this column " sqref="B4" xr:uid="{00000000-0002-0000-0000-000002000000}"/>
    <dataValidation allowBlank="1" showInputMessage="1" showErrorMessage="1" prompt="Enter the name of the person assigned to each chore task for Day 1 in this column" sqref="C4" xr:uid="{00000000-0002-0000-0000-000003000000}"/>
    <dataValidation allowBlank="1" showInputMessage="1" showErrorMessage="1" prompt="Enter the name of the person assigned to each chore task for Day 2 in this column" sqref="E4" xr:uid="{00000000-0002-0000-0000-000004000000}"/>
    <dataValidation allowBlank="1" showInputMessage="1" showErrorMessage="1" prompt="Enter the name of the person assigned to each chore task for Day 3 in this column" sqref="G4" xr:uid="{00000000-0002-0000-0000-000005000000}"/>
    <dataValidation allowBlank="1" showInputMessage="1" showErrorMessage="1" prompt="Enter the name of the person assigned to each chore task for Day 4 in this column" sqref="I4" xr:uid="{00000000-0002-0000-0000-000006000000}"/>
    <dataValidation allowBlank="1" showInputMessage="1" showErrorMessage="1" prompt="Enter the name of the person assigned to each chore task for Day 5 in this column" sqref="K4" xr:uid="{00000000-0002-0000-0000-000007000000}"/>
    <dataValidation allowBlank="1" showInputMessage="1" showErrorMessage="1" prompt="Enter the name of the person assigned to each chore task for Day 6 in this column" sqref="M4" xr:uid="{00000000-0002-0000-0000-000008000000}"/>
    <dataValidation allowBlank="1" showInputMessage="1" showErrorMessage="1" prompt="Enter the name of the person assigned to each chore task for Day 7 in this column" sqref="O4" xr:uid="{00000000-0002-0000-0000-000009000000}"/>
    <dataValidation allowBlank="1" showInputMessage="1" showErrorMessage="1" prompt="Mark this column when a chore task is completed in this column" sqref="D4 P4 N4 L4 J4 H4 F4" xr:uid="{00000000-0002-0000-0000-00000A000000}"/>
  </dataValidations>
  <printOptions horizontalCentered="1"/>
  <pageMargins left="0.25" right="0.25" top="0.25" bottom="0.25" header="0" footer="0"/>
  <pageSetup scale="63" orientation="landscape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Chore Schedule</vt:lpstr>
      <vt:lpstr>ColumnTitle1</vt:lpstr>
      <vt:lpstr>'Chore Schedule'!Print_Area</vt:lpstr>
      <vt:lpstr>'Chore Schedule'!Print_Titles</vt:lpstr>
      <vt:lpstr>StartDate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Thom Voth</dc:creator>
  <cp:lastModifiedBy>Thom Voth</cp:lastModifiedBy>
  <cp:lastPrinted>2026-10-21T21:58:39Z</cp:lastPrinted>
  <dcterms:created xsi:type="dcterms:W3CDTF">2016-09-15T23:18:39Z</dcterms:created>
  <dcterms:modified xsi:type="dcterms:W3CDTF">2026-10-21T21:58:51Z</dcterms:modified>
</cp:coreProperties>
</file>