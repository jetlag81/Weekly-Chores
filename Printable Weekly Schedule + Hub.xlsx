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Dev Projects\Chores\"/>
    </mc:Choice>
  </mc:AlternateContent>
  <xr:revisionPtr revIDLastSave="0" documentId="13_ncr:1_{3FA52393-E744-4B79-9DD3-725F812D7A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intable Weekly Schedule" sheetId="2" r:id="rId1"/>
    <sheet name="Household Hub (Background Data)" sheetId="3" r:id="rId2"/>
  </sheets>
  <definedNames>
    <definedName name="StartDate">'Household Hub (Background Data)'!$I$20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M3" i="2"/>
  <c r="K3" i="2"/>
  <c r="I3" i="2"/>
  <c r="G3" i="2"/>
  <c r="E3" i="2"/>
  <c r="C3" i="2"/>
  <c r="B3" i="2"/>
</calcChain>
</file>

<file path=xl/sharedStrings.xml><?xml version="1.0" encoding="utf-8"?>
<sst xmlns="http://schemas.openxmlformats.org/spreadsheetml/2006/main" count="254" uniqueCount="126">
  <si>
    <t>Weekly Chore Schedule</t>
  </si>
  <si>
    <t>HOUSEHOLD HUB &amp; MASTER DIRECTORY</t>
  </si>
  <si>
    <t>Centralized household administration: Family member occupancy, pet care routines, and chore allocation master rules.</t>
  </si>
  <si>
    <t>HOUSEHOLD MEMBERS</t>
  </si>
  <si>
    <t>MASTER CHORE REGISTRY &amp; ALLOCATION RULES</t>
  </si>
  <si>
    <t>FOR THE WEEK OF:</t>
  </si>
  <si>
    <t>Monday</t>
  </si>
  <si>
    <t>Name</t>
  </si>
  <si>
    <t>Role</t>
  </si>
  <si>
    <t>Occupancy</t>
  </si>
  <si>
    <t>Special Rotation Groups</t>
  </si>
  <si>
    <t>Tuesday</t>
  </si>
  <si>
    <t>Active Status</t>
  </si>
  <si>
    <t>Chore</t>
  </si>
  <si>
    <t>Member / Group</t>
  </si>
  <si>
    <t>Frequency</t>
  </si>
  <si>
    <t>Suggested Days</t>
  </si>
  <si>
    <t>Wednesday</t>
  </si>
  <si>
    <t>Details / Notes</t>
  </si>
  <si>
    <t>Thom</t>
  </si>
  <si>
    <t>Thursday</t>
  </si>
  <si>
    <t>Overseer Supreme</t>
  </si>
  <si>
    <t>Friday</t>
  </si>
  <si>
    <t>Saturday</t>
  </si>
  <si>
    <t>Sunday</t>
  </si>
  <si>
    <t>Full-Time</t>
  </si>
  <si>
    <t>Parents, Non-Casual, All</t>
  </si>
  <si>
    <t>Empty the Litter Box (Morning &amp; Evening)</t>
  </si>
  <si>
    <t>Non-Casual</t>
  </si>
  <si>
    <t>Daily</t>
  </si>
  <si>
    <t>N/A</t>
  </si>
  <si>
    <t>Scoop waste, refresh litter, dispose of waste.</t>
  </si>
  <si>
    <t>Meghan</t>
  </si>
  <si>
    <t>Feed the Herd (Breakfast &amp; Supper)</t>
  </si>
  <si>
    <t>Feed all animals the appropriate food and portions.</t>
  </si>
  <si>
    <t>Sydney</t>
  </si>
  <si>
    <t>Minion</t>
  </si>
  <si>
    <t>Kids, Non-Casual, All</t>
  </si>
  <si>
    <t>Empty Dishwasher</t>
  </si>
  <si>
    <t>All Non-Casual</t>
  </si>
  <si>
    <t>Mon – Sun</t>
  </si>
  <si>
    <t>Put away clean dishes, Load any dirty dishes</t>
  </si>
  <si>
    <t>Cadence</t>
  </si>
  <si>
    <t>Bi-Weekly</t>
  </si>
  <si>
    <t>Make Supper: Plan Ahead!</t>
  </si>
  <si>
    <t>Think of a menu, make a list if items are needed, prepare &amp; serve (try to have a plan in place by at least the day before)</t>
  </si>
  <si>
    <t>Mason</t>
  </si>
  <si>
    <t/>
  </si>
  <si>
    <t>Dinner Dishes &amp; Kitchen Cleanup</t>
  </si>
  <si>
    <t>Load dishwasher, put leftovers in containers and put away, wash and dry any extra dishes, wipe counters, table, stove &amp; other surfaces</t>
  </si>
  <si>
    <t>TASK</t>
  </si>
  <si>
    <t>Koda</t>
  </si>
  <si>
    <t>WHO</t>
  </si>
  <si>
    <t>Casual</t>
  </si>
  <si>
    <t>All</t>
  </si>
  <si>
    <t>Tidy Bedrooms / Personal Spaces</t>
  </si>
  <si>
    <t>Kids</t>
  </si>
  <si>
    <t>DONE</t>
  </si>
  <si>
    <t>Once a Week</t>
  </si>
  <si>
    <t>Pick up mess &amp; laundry, dust surfaces, vacuum floors (each individual kid is responsible for their own space)</t>
  </si>
  <si>
    <t>Keyanna</t>
  </si>
  <si>
    <t>Laundry</t>
  </si>
  <si>
    <t>Wash, dry, fold &amp; put away (each kid responsible for their own items)</t>
  </si>
  <si>
    <t>Clean Basement (Pick Up, Dust, Vacuum)</t>
  </si>
  <si>
    <t>Pick up mess &amp; laundry, dust surfaces, vacuum floors</t>
  </si>
  <si>
    <t>OCCUPANCY CATEGORIES</t>
  </si>
  <si>
    <t>Herd Feeding Station Deep Clean</t>
  </si>
  <si>
    <t>Wash &amp; sanitize pet bowls, vacuum feeding mat</t>
  </si>
  <si>
    <t>Type</t>
  </si>
  <si>
    <t>Description</t>
  </si>
  <si>
    <t>Rules</t>
  </si>
  <si>
    <t>Curbside Recycling</t>
  </si>
  <si>
    <t>Thursday Evening (required)</t>
  </si>
  <si>
    <t>Roll recycling bin to curb Thursday evening for Friday pickup (alternating weeks)</t>
  </si>
  <si>
    <t>Constant Residency</t>
  </si>
  <si>
    <t>Included in all weekly/monthly schedulings</t>
  </si>
  <si>
    <t>Curbside Waste</t>
  </si>
  <si>
    <t>Roll waste bin to curb Thursday evening for Friday pickup (alternating weeks)</t>
  </si>
  <si>
    <t>Half-Time Residency</t>
  </si>
  <si>
    <t>Included in weekly/monthly schedulings when in residence, Use "Custody Schedule Rotation" data</t>
  </si>
  <si>
    <t>Periodic Residency</t>
  </si>
  <si>
    <t>Manually added to any schedules</t>
  </si>
  <si>
    <t>SCHEDULE CONFIGURATIONS</t>
  </si>
  <si>
    <t>SPECIAL ROTATION GROUPS</t>
  </si>
  <si>
    <t>Active Week Start Date</t>
  </si>
  <si>
    <t>Printable Weekly Schedule</t>
  </si>
  <si>
    <t>Members</t>
  </si>
  <si>
    <t>Dinner Dishes &amp; Kitchen Cleanup (Put away food, load dishwasher, wipe surfaces)</t>
  </si>
  <si>
    <t>Thom, Meghan, Sydney, Cadence, Mason, Koda, Keyanna</t>
  </si>
  <si>
    <t>Custody Schedule Rotation</t>
  </si>
  <si>
    <t>Kids Week</t>
  </si>
  <si>
    <t>Clean Basement: Pick Up, Organize, Dust &amp; Vacuum</t>
  </si>
  <si>
    <t>Assigned: Thom • Sunday Routine (Wash &amp; Sanitize Pet Bowls)</t>
  </si>
  <si>
    <t>Tidy Bedrooms (Personal Spaces)</t>
  </si>
  <si>
    <t>Cadence &amp; Mason: Off-Week</t>
  </si>
  <si>
    <t>Each Child</t>
  </si>
  <si>
    <t>Laundry (Wash, Fold, Put Away)</t>
  </si>
  <si>
    <t>Bi-Weekly Schedule</t>
  </si>
  <si>
    <t>Mason, Cadence</t>
  </si>
  <si>
    <t>Sydney, Cadence, Mason</t>
  </si>
  <si>
    <t>Weekly Sign-Off / Parent Inspection</t>
  </si>
  <si>
    <t>Parent Review: Parents (Sundays @ 5:00 PM • Household Review &amp; Sign-Off)</t>
  </si>
  <si>
    <t>Parents</t>
  </si>
  <si>
    <t>Thom, Meghan</t>
  </si>
  <si>
    <t>Thom, Meghan, Sydney, Cadence, Mason</t>
  </si>
  <si>
    <t>PET CARE PROFILES &amp; FEEDING ROUTINES</t>
  </si>
  <si>
    <t>Pet Name</t>
  </si>
  <si>
    <t>Dog / Cat</t>
  </si>
  <si>
    <t>Routine</t>
  </si>
  <si>
    <t>Care Responsibilities</t>
  </si>
  <si>
    <t>PET CARE ROUTINE ("FEED THE HERD")</t>
  </si>
  <si>
    <t>Ellie</t>
  </si>
  <si>
    <t>Dog</t>
  </si>
  <si>
    <t>Morning &amp; Evening</t>
  </si>
  <si>
    <t>Feed morning/evening, let outside, walk frequently, fresh water</t>
  </si>
  <si>
    <t>Lewis</t>
  </si>
  <si>
    <t>Casey</t>
  </si>
  <si>
    <t>Cat</t>
  </si>
  <si>
    <t>Feed morning/evening, scoop litter box, fresh water</t>
  </si>
  <si>
    <t>Gigi</t>
  </si>
  <si>
    <t>• Cats (Litter Crew): Morning &amp; evening feeding, scoop litter box daily</t>
  </si>
  <si>
    <t>Sloane</t>
  </si>
  <si>
    <t>Scoob</t>
  </si>
  <si>
    <t>• Herd Feeding Station: Refill all water bowls daily, wipe station, dispose waste</t>
  </si>
  <si>
    <t>Weekly Sign-Off &amp; Inspection</t>
  </si>
  <si>
    <t>Rigorously review completed tasks, administer severe punishments if not done satisfactorily, sign off if work is acceptible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</si>
</sst>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yyyy\-mm\-dd"/>
  </numFmts>
  <fonts count="24">
    <font>
      <sz val="11"/>
      <color rgb="FF3F3F3F"/>
      <name val="Arial"/>
      <scheme val="minor"/>
    </font>
    <font>
      <b/>
      <sz val="18"/>
      <color theme="1"/>
      <name val="Roboto"/>
    </font>
    <font>
      <sz val="11"/>
      <color theme="1"/>
      <name val="Roboto"/>
    </font>
    <font>
      <b/>
      <sz val="16"/>
      <color rgb="FFFFFFFF"/>
      <name val="Google Sans"/>
    </font>
    <font>
      <sz val="10"/>
      <color rgb="FFCDF1EB"/>
      <name val="Roboto"/>
    </font>
    <font>
      <b/>
      <sz val="11"/>
      <color rgb="FFFFFFFF"/>
      <name val="Google Sans"/>
    </font>
    <font>
      <b/>
      <sz val="9"/>
      <color rgb="FFFFFFFF"/>
      <name val="Roboto"/>
    </font>
    <font>
      <sz val="11"/>
      <name val="Arial"/>
    </font>
    <font>
      <b/>
      <sz val="11"/>
      <color rgb="FFFFFFFF"/>
      <name val="Roboto"/>
    </font>
    <font>
      <b/>
      <sz val="10"/>
      <color rgb="FFFFFFFF"/>
      <name val="Google Sans"/>
    </font>
    <font>
      <sz val="10"/>
      <color rgb="FF161D1B"/>
      <name val="Roboto"/>
    </font>
    <font>
      <b/>
      <sz val="14"/>
      <color rgb="FFFFFFFF"/>
      <name val="Roboto"/>
    </font>
    <font>
      <b/>
      <sz val="16"/>
      <color rgb="FFFFFFFF"/>
      <name val="Roboto"/>
    </font>
    <font>
      <sz val="11"/>
      <color theme="1"/>
      <name val="Arial"/>
      <scheme val="minor"/>
    </font>
    <font>
      <b/>
      <sz val="9"/>
      <color rgb="FF334154"/>
      <name val="Roboto"/>
    </font>
    <font>
      <sz val="9"/>
      <color rgb="FF0F1628"/>
      <name val="Roboto"/>
    </font>
    <font>
      <b/>
      <sz val="10"/>
      <color theme="1"/>
      <name val="Google Sans"/>
    </font>
    <font>
      <sz val="10"/>
      <color theme="1"/>
      <name val="Google Sans"/>
    </font>
    <font>
      <b/>
      <sz val="10"/>
      <color rgb="FFFFFFFF"/>
      <name val="Roboto"/>
    </font>
    <font>
      <sz val="9"/>
      <color rgb="FF1E293A"/>
      <name val="Roboto"/>
    </font>
    <font>
      <i/>
      <sz val="9"/>
      <color rgb="FF727F93"/>
      <name val="Roboto"/>
    </font>
    <font>
      <u/>
      <sz val="11"/>
      <color rgb="FF0000FF"/>
      <name val="Google Sans"/>
    </font>
    <font>
      <b/>
      <sz val="9"/>
      <color rgb="FF0F1628"/>
      <name val="Roboto"/>
    </font>
    <font>
      <sz val="9"/>
      <color rgb="FF475569"/>
      <name val="Roboto"/>
    </font>
  </fonts>
  <fills count="25">
    <fill>
      <patternFill patternType="none"/>
    </fill>
    <fill>
      <patternFill patternType="gray125"/>
    </fill>
    <fill>
      <patternFill patternType="solid">
        <fgColor rgb="FF006A5D"/>
        <bgColor rgb="FF006A5D"/>
      </patternFill>
    </fill>
    <fill>
      <patternFill patternType="solid">
        <fgColor rgb="FF004D43"/>
        <bgColor rgb="FF004D43"/>
      </patternFill>
    </fill>
    <fill>
      <patternFill patternType="solid">
        <fgColor rgb="FF1E293A"/>
        <bgColor rgb="FF1E293A"/>
      </patternFill>
    </fill>
    <fill>
      <patternFill patternType="solid">
        <fgColor rgb="FF9E2936"/>
        <bgColor rgb="FF9E2936"/>
      </patternFill>
    </fill>
    <fill>
      <patternFill patternType="solid">
        <fgColor rgb="FF1B587C"/>
        <bgColor rgb="FF1B587C"/>
      </patternFill>
    </fill>
    <fill>
      <patternFill patternType="solid">
        <fgColor rgb="FFCC4D0D"/>
        <bgColor rgb="FFCC4D0D"/>
      </patternFill>
    </fill>
    <fill>
      <patternFill patternType="solid">
        <fgColor rgb="FFF4FAF8"/>
        <bgColor rgb="FFF4FAF8"/>
      </patternFill>
    </fill>
    <fill>
      <patternFill patternType="solid">
        <fgColor rgb="FF45753A"/>
        <bgColor rgb="FF45753A"/>
      </patternFill>
    </fill>
    <fill>
      <patternFill patternType="solid">
        <fgColor rgb="FF604878"/>
        <bgColor rgb="FF604878"/>
      </patternFill>
    </fill>
    <fill>
      <patternFill patternType="solid">
        <fgColor rgb="FFCB2382"/>
        <bgColor rgb="FFCB2382"/>
      </patternFill>
    </fill>
    <fill>
      <patternFill patternType="solid">
        <fgColor rgb="FF017D80"/>
        <bgColor rgb="FF017D80"/>
      </patternFill>
    </fill>
    <fill>
      <patternFill patternType="solid">
        <fgColor rgb="FFF0F5F8"/>
        <bgColor rgb="FFF0F5F8"/>
      </patternFill>
    </fill>
    <fill>
      <patternFill patternType="solid">
        <fgColor rgb="FFFAEBED"/>
        <bgColor rgb="FFFAEBED"/>
      </patternFill>
    </fill>
    <fill>
      <patternFill patternType="solid">
        <fgColor rgb="FFEBF3F8"/>
        <bgColor rgb="FFEBF3F8"/>
      </patternFill>
    </fill>
    <fill>
      <patternFill patternType="solid">
        <fgColor rgb="FFFCF1EB"/>
        <bgColor rgb="FFFCF1EB"/>
      </patternFill>
    </fill>
    <fill>
      <patternFill patternType="solid">
        <fgColor rgb="FFEEF6ED"/>
        <bgColor rgb="FFEEF6ED"/>
      </patternFill>
    </fill>
    <fill>
      <patternFill patternType="solid">
        <fgColor rgb="FFF3EEF7"/>
        <bgColor rgb="FFF3EEF7"/>
      </patternFill>
    </fill>
    <fill>
      <patternFill patternType="solid">
        <fgColor rgb="FFFBEBF4"/>
        <bgColor rgb="FFFBEBF4"/>
      </patternFill>
    </fill>
    <fill>
      <patternFill patternType="solid">
        <fgColor rgb="FF0F7469"/>
        <bgColor rgb="FF0F7469"/>
      </patternFill>
    </fill>
    <fill>
      <patternFill patternType="solid">
        <fgColor rgb="FFE6F5F5"/>
        <bgColor rgb="FFE6F5F5"/>
      </patternFill>
    </fill>
    <fill>
      <patternFill patternType="solid">
        <fgColor rgb="FFFFFFFF"/>
        <bgColor rgb="FFFFFFFF"/>
      </patternFill>
    </fill>
    <fill>
      <patternFill patternType="solid">
        <fgColor rgb="FFF8F9FB"/>
        <bgColor rgb="FFF8F9FB"/>
      </patternFill>
    </fill>
    <fill>
      <patternFill patternType="solid">
        <fgColor rgb="FF334154"/>
        <bgColor rgb="FF334154"/>
      </patternFill>
    </fill>
  </fills>
  <borders count="64">
    <border>
      <left/>
      <right/>
      <top/>
      <bottom/>
      <diagonal/>
    </border>
    <border>
      <left style="medium">
        <color rgb="FF1E293A"/>
      </left>
      <right style="medium">
        <color rgb="FF1E293A"/>
      </right>
      <top style="medium">
        <color rgb="FF1E293A"/>
      </top>
      <bottom style="thin">
        <color rgb="FFE5E5E5"/>
      </bottom>
      <diagonal/>
    </border>
    <border>
      <left style="thin">
        <color rgb="FFCFDED9"/>
      </left>
      <right/>
      <top style="thin">
        <color rgb="FFCFDED9"/>
      </top>
      <bottom/>
      <diagonal/>
    </border>
    <border>
      <left/>
      <right/>
      <top style="thin">
        <color rgb="FFCFDED9"/>
      </top>
      <bottom/>
      <diagonal/>
    </border>
    <border>
      <left/>
      <right style="thin">
        <color rgb="FFCFDED9"/>
      </right>
      <top style="thin">
        <color rgb="FFCFDED9"/>
      </top>
      <bottom/>
      <diagonal/>
    </border>
    <border>
      <left/>
      <right/>
      <top style="medium">
        <color rgb="FF1E293A"/>
      </top>
      <bottom style="thin">
        <color rgb="FFE5E5E5"/>
      </bottom>
      <diagonal/>
    </border>
    <border>
      <left/>
      <right style="thin">
        <color rgb="FFBFC6D1"/>
      </right>
      <top style="medium">
        <color rgb="FF1E293A"/>
      </top>
      <bottom style="thin">
        <color rgb="FFE5E5E5"/>
      </bottom>
      <diagonal/>
    </border>
    <border>
      <left style="thin">
        <color rgb="FFCFDED9"/>
      </left>
      <right style="thin">
        <color rgb="FFE0EAE5"/>
      </right>
      <top style="thin">
        <color rgb="FFE0EAE5"/>
      </top>
      <bottom style="thin">
        <color rgb="FFE0EAE5"/>
      </bottom>
      <diagonal/>
    </border>
    <border>
      <left style="thin">
        <color rgb="FFE0EAE5"/>
      </left>
      <right style="thin">
        <color rgb="FFE0EAE5"/>
      </right>
      <top style="thin">
        <color rgb="FFE0EAE5"/>
      </top>
      <bottom style="thin">
        <color rgb="FFE0EAE5"/>
      </bottom>
      <diagonal/>
    </border>
    <border>
      <left/>
      <right style="medium">
        <color rgb="FF1E293A"/>
      </right>
      <top style="medium">
        <color rgb="FF1E293A"/>
      </top>
      <bottom style="thin">
        <color rgb="FFE5E5E5"/>
      </bottom>
      <diagonal/>
    </border>
    <border>
      <left style="thin">
        <color rgb="FFE0EAE5"/>
      </left>
      <right style="thin">
        <color rgb="FFCFDED9"/>
      </right>
      <top style="thin">
        <color rgb="FFE0EAE5"/>
      </top>
      <bottom style="thin">
        <color rgb="FFE0EAE5"/>
      </bottom>
      <diagonal/>
    </border>
    <border>
      <left style="thin">
        <color rgb="FFCFDED9"/>
      </left>
      <right style="thin">
        <color rgb="FFE0EAE5"/>
      </right>
      <top/>
      <bottom style="thin">
        <color rgb="FFE0EAE5"/>
      </bottom>
      <diagonal/>
    </border>
    <border>
      <left style="thin">
        <color rgb="FFE0EAE5"/>
      </left>
      <right style="thin">
        <color rgb="FFE0EAE5"/>
      </right>
      <top/>
      <bottom style="thin">
        <color rgb="FFE0EAE5"/>
      </bottom>
      <diagonal/>
    </border>
    <border>
      <left style="medium">
        <color rgb="FF1E293A"/>
      </left>
      <right style="medium">
        <color rgb="FF1E293A"/>
      </right>
      <top style="thin">
        <color rgb="FFE5E5E5"/>
      </top>
      <bottom style="thin">
        <color rgb="FFE5E5E5"/>
      </bottom>
      <diagonal/>
    </border>
    <border>
      <left style="thin">
        <color rgb="FFE0EAE5"/>
      </left>
      <right/>
      <top/>
      <bottom style="thin">
        <color rgb="FFE0EAE5"/>
      </bottom>
      <diagonal/>
    </border>
    <border>
      <left/>
      <right style="thin">
        <color rgb="FFCFDED9"/>
      </right>
      <top/>
      <bottom style="thin">
        <color rgb="FFE0EAE5"/>
      </bottom>
      <diagonal/>
    </border>
    <border>
      <left style="thin">
        <color rgb="FFCFDED9"/>
      </left>
      <right style="thin">
        <color rgb="FFE0EAE5"/>
      </right>
      <top style="thin">
        <color rgb="FFE0EAE5"/>
      </top>
      <bottom style="thin">
        <color rgb="FFCFDED9"/>
      </bottom>
      <diagonal/>
    </border>
    <border>
      <left/>
      <right/>
      <top style="thin">
        <color rgb="FFE5E5E5"/>
      </top>
      <bottom style="thin">
        <color rgb="FFE5E5E5"/>
      </bottom>
      <diagonal/>
    </border>
    <border>
      <left style="thin">
        <color rgb="FFE0EAE5"/>
      </left>
      <right style="thin">
        <color rgb="FFE0EAE5"/>
      </right>
      <top style="thin">
        <color rgb="FFE0EAE5"/>
      </top>
      <bottom style="thin">
        <color rgb="FFCFDED9"/>
      </bottom>
      <diagonal/>
    </border>
    <border>
      <left/>
      <right style="thin">
        <color rgb="FFBFC6D1"/>
      </right>
      <top style="thin">
        <color rgb="FFE5E5E5"/>
      </top>
      <bottom style="thin">
        <color rgb="FFE5E5E5"/>
      </bottom>
      <diagonal/>
    </border>
    <border>
      <left style="thin">
        <color rgb="FFE0EAE5"/>
      </left>
      <right style="thin">
        <color rgb="FFCFDED9"/>
      </right>
      <top style="thin">
        <color rgb="FFE0EAE5"/>
      </top>
      <bottom style="thin">
        <color rgb="FFCFDED9"/>
      </bottom>
      <diagonal/>
    </border>
    <border>
      <left style="thin">
        <color rgb="FFE0EAE5"/>
      </left>
      <right/>
      <top style="thin">
        <color rgb="FFE0EAE5"/>
      </top>
      <bottom style="thin">
        <color rgb="FFE0EAE5"/>
      </bottom>
      <diagonal/>
    </border>
    <border>
      <left/>
      <right style="thin">
        <color rgb="FFCFDED9"/>
      </right>
      <top style="thin">
        <color rgb="FFE0EAE5"/>
      </top>
      <bottom style="thin">
        <color rgb="FFE0EAE5"/>
      </bottom>
      <diagonal/>
    </border>
    <border>
      <left style="thin">
        <color rgb="FFE0EAE5"/>
      </left>
      <right style="thin">
        <color rgb="FFCFDED9"/>
      </right>
      <top/>
      <bottom style="thin">
        <color rgb="FFE0EAE5"/>
      </bottom>
      <diagonal/>
    </border>
    <border>
      <left/>
      <right style="medium">
        <color rgb="FF1E293A"/>
      </right>
      <top style="thin">
        <color rgb="FFE5E5E5"/>
      </top>
      <bottom style="thin">
        <color rgb="FFE5E5E5"/>
      </bottom>
      <diagonal/>
    </border>
    <border>
      <left style="medium">
        <color rgb="FF1E293A"/>
      </left>
      <right style="medium">
        <color rgb="FF1E293A"/>
      </right>
      <top style="thin">
        <color rgb="FFE5E5E5"/>
      </top>
      <bottom style="medium">
        <color rgb="FFB2BFCC"/>
      </bottom>
      <diagonal/>
    </border>
    <border>
      <left/>
      <right style="thin">
        <color rgb="FFD8DDE5"/>
      </right>
      <top style="thin">
        <color rgb="FFE5E5E5"/>
      </top>
      <bottom style="medium">
        <color rgb="FFB2BFCC"/>
      </bottom>
      <diagonal/>
    </border>
    <border>
      <left style="thin">
        <color rgb="FFD8DDE5"/>
      </left>
      <right style="thin">
        <color rgb="FFBFC6D1"/>
      </right>
      <top style="thin">
        <color rgb="FFE5E5E5"/>
      </top>
      <bottom style="medium">
        <color rgb="FFB2BFCC"/>
      </bottom>
      <diagonal/>
    </border>
    <border>
      <left style="thin">
        <color rgb="FFD8DDE5"/>
      </left>
      <right style="medium">
        <color rgb="FF1E293A"/>
      </right>
      <top style="thin">
        <color rgb="FFE5E5E5"/>
      </top>
      <bottom style="medium">
        <color rgb="FFB2BFCC"/>
      </bottom>
      <diagonal/>
    </border>
    <border>
      <left style="medium">
        <color rgb="FF1E293A"/>
      </left>
      <right style="thin">
        <color rgb="FF93A2B8"/>
      </right>
      <top/>
      <bottom style="thin">
        <color rgb="FFE1E8EF"/>
      </bottom>
      <diagonal/>
    </border>
    <border>
      <left/>
      <right style="thin">
        <color rgb="FFE1E8EF"/>
      </right>
      <top/>
      <bottom style="thin">
        <color rgb="FFE1E8EF"/>
      </bottom>
      <diagonal/>
    </border>
    <border>
      <left/>
      <right style="thin">
        <color rgb="FFE0EAE5"/>
      </right>
      <top/>
      <bottom style="thin">
        <color rgb="FFE0EAE5"/>
      </bottom>
      <diagonal/>
    </border>
    <border>
      <left style="thin">
        <color rgb="FFE1E8EF"/>
      </left>
      <right style="thin">
        <color rgb="FFCAD4E0"/>
      </right>
      <top/>
      <bottom style="thin">
        <color rgb="FFE1E8EF"/>
      </bottom>
      <diagonal/>
    </border>
    <border>
      <left style="thin">
        <color rgb="FFE0EAE5"/>
      </left>
      <right/>
      <top style="thin">
        <color rgb="FFE0EAE5"/>
      </top>
      <bottom style="thin">
        <color rgb="FFCFDED9"/>
      </bottom>
      <diagonal/>
    </border>
    <border>
      <left style="thin">
        <color rgb="FFE1E8EF"/>
      </left>
      <right style="medium">
        <color rgb="FF1E293A"/>
      </right>
      <top/>
      <bottom style="thin">
        <color rgb="FFE1E8EF"/>
      </bottom>
      <diagonal/>
    </border>
    <border>
      <left/>
      <right style="thin">
        <color rgb="FFCFDED9"/>
      </right>
      <top style="thin">
        <color rgb="FFE0EAE5"/>
      </top>
      <bottom style="thin">
        <color rgb="FFCFDED9"/>
      </bottom>
      <diagonal/>
    </border>
    <border>
      <left style="medium">
        <color rgb="FF1E293A"/>
      </left>
      <right style="thin">
        <color rgb="FF93A2B8"/>
      </right>
      <top style="thin">
        <color rgb="FFE1E8EF"/>
      </top>
      <bottom style="thin">
        <color rgb="FFE1E8EF"/>
      </bottom>
      <diagonal/>
    </border>
    <border>
      <left/>
      <right style="thin">
        <color rgb="FFE1E8EF"/>
      </right>
      <top style="thin">
        <color rgb="FFE1E8EF"/>
      </top>
      <bottom style="thin">
        <color rgb="FFE1E8EF"/>
      </bottom>
      <diagonal/>
    </border>
    <border>
      <left/>
      <right style="thin">
        <color rgb="FFE0EAE5"/>
      </right>
      <top style="thin">
        <color rgb="FFE0EAE5"/>
      </top>
      <bottom style="thin">
        <color rgb="FFE0EAE5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medium">
        <color rgb="FF1E293A"/>
      </right>
      <top style="thin">
        <color rgb="FFE1E8EF"/>
      </top>
      <bottom style="thin">
        <color rgb="FFE1E8EF"/>
      </bottom>
      <diagonal/>
    </border>
    <border>
      <left style="medium">
        <color rgb="FF1E293A"/>
      </left>
      <right style="thin">
        <color rgb="FF93A2B8"/>
      </right>
      <top style="thin">
        <color rgb="FFE1E8EF"/>
      </top>
      <bottom style="medium">
        <color rgb="FF334154"/>
      </bottom>
      <diagonal/>
    </border>
    <border>
      <left/>
      <right style="thin">
        <color rgb="FFE1E8EF"/>
      </right>
      <top style="thin">
        <color rgb="FFE1E8EF"/>
      </top>
      <bottom style="medium">
        <color rgb="FF334154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medium">
        <color rgb="FF334154"/>
      </bottom>
      <diagonal/>
    </border>
    <border>
      <left/>
      <right/>
      <top/>
      <bottom style="thin">
        <color rgb="FFE0EAE5"/>
      </bottom>
      <diagonal/>
    </border>
    <border>
      <left style="thin">
        <color rgb="FFE1E8EF"/>
      </left>
      <right style="medium">
        <color rgb="FF1E293A"/>
      </right>
      <top style="thin">
        <color rgb="FFE1E8EF"/>
      </top>
      <bottom style="medium">
        <color rgb="FF334154"/>
      </bottom>
      <diagonal/>
    </border>
    <border>
      <left style="medium">
        <color rgb="FF1E293A"/>
      </left>
      <right/>
      <top style="medium">
        <color rgb="FF334154"/>
      </top>
      <bottom style="medium">
        <color rgb="FF334154"/>
      </bottom>
      <diagonal/>
    </border>
    <border>
      <left/>
      <right/>
      <top style="medium">
        <color rgb="FF334154"/>
      </top>
      <bottom style="medium">
        <color rgb="FF334154"/>
      </bottom>
      <diagonal/>
    </border>
    <border>
      <left/>
      <right style="medium">
        <color rgb="FF1E293A"/>
      </right>
      <top style="medium">
        <color rgb="FF334154"/>
      </top>
      <bottom style="medium">
        <color rgb="FF334154"/>
      </bottom>
      <diagonal/>
    </border>
    <border>
      <left/>
      <right/>
      <top/>
      <bottom style="thin">
        <color rgb="FFE1E8EF"/>
      </bottom>
      <diagonal/>
    </border>
    <border>
      <left/>
      <right style="thin">
        <color rgb="FFCAD4E0"/>
      </right>
      <top/>
      <bottom style="thin">
        <color rgb="FFE1E8EF"/>
      </bottom>
      <diagonal/>
    </border>
    <border>
      <left style="medium">
        <color rgb="FF1E293A"/>
      </left>
      <right style="thin">
        <color rgb="FF93A2B8"/>
      </right>
      <top style="thin">
        <color rgb="FFE1E8EF"/>
      </top>
      <bottom style="medium">
        <color rgb="FF1E293A"/>
      </bottom>
      <diagonal/>
    </border>
    <border>
      <left/>
      <right/>
      <top style="thin">
        <color rgb="FFE0EAE5"/>
      </top>
      <bottom style="thin">
        <color rgb="FFE0EAE5"/>
      </bottom>
      <diagonal/>
    </border>
    <border>
      <left style="thin">
        <color rgb="FF93A2B8"/>
      </left>
      <right/>
      <top style="thin">
        <color rgb="FFE1E8EF"/>
      </top>
      <bottom style="medium">
        <color rgb="FF1E293A"/>
      </bottom>
      <diagonal/>
    </border>
    <border>
      <left/>
      <right/>
      <top style="thin">
        <color rgb="FFE1E8EF"/>
      </top>
      <bottom style="medium">
        <color rgb="FF1E293A"/>
      </bottom>
      <diagonal/>
    </border>
    <border>
      <left/>
      <right style="thin">
        <color rgb="FFCAD4E0"/>
      </right>
      <top style="thin">
        <color rgb="FFE1E8EF"/>
      </top>
      <bottom style="medium">
        <color rgb="FF1E293A"/>
      </bottom>
      <diagonal/>
    </border>
    <border>
      <left style="thin">
        <color rgb="FFCAD4E0"/>
      </left>
      <right/>
      <top style="thin">
        <color rgb="FFE1E8EF"/>
      </top>
      <bottom style="medium">
        <color rgb="FF1E293A"/>
      </bottom>
      <diagonal/>
    </border>
    <border>
      <left/>
      <right style="thin">
        <color rgb="FFE1E8EF"/>
      </right>
      <top style="thin">
        <color rgb="FFE1E8EF"/>
      </top>
      <bottom style="medium">
        <color rgb="FF1E293A"/>
      </bottom>
      <diagonal/>
    </border>
    <border>
      <left style="thin">
        <color rgb="FFE1E8EF"/>
      </left>
      <right style="medium">
        <color rgb="FF1E293A"/>
      </right>
      <top style="thin">
        <color rgb="FFE1E8EF"/>
      </top>
      <bottom style="medium">
        <color rgb="FF1E293A"/>
      </bottom>
      <diagonal/>
    </border>
    <border>
      <left style="medium">
        <color rgb="FF1E293A"/>
      </left>
      <right/>
      <top style="medium">
        <color rgb="FF1E293A"/>
      </top>
      <bottom style="thin">
        <color rgb="FFE1E8EF"/>
      </bottom>
      <diagonal/>
    </border>
    <border>
      <left/>
      <right/>
      <top style="medium">
        <color rgb="FF1E293A"/>
      </top>
      <bottom style="thin">
        <color rgb="FFE1E8EF"/>
      </bottom>
      <diagonal/>
    </border>
    <border>
      <left/>
      <right style="medium">
        <color rgb="FF1E293A"/>
      </right>
      <top style="medium">
        <color rgb="FF1E293A"/>
      </top>
      <bottom style="thin">
        <color rgb="FFE1E8EF"/>
      </bottom>
      <diagonal/>
    </border>
    <border>
      <left style="medium">
        <color rgb="FF1E293A"/>
      </left>
      <right/>
      <top/>
      <bottom style="thin">
        <color rgb="FFE1E8EF"/>
      </bottom>
      <diagonal/>
    </border>
    <border>
      <left/>
      <right style="medium">
        <color rgb="FF1E293A"/>
      </right>
      <top/>
      <bottom style="thin">
        <color rgb="FFE1E8EF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6" fillId="4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0" fillId="8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14" fontId="11" fillId="4" borderId="13" xfId="0" applyNumberFormat="1" applyFont="1" applyFill="1" applyBorder="1" applyAlignment="1">
      <alignment horizontal="center" vertical="center"/>
    </xf>
    <xf numFmtId="0" fontId="10" fillId="0" borderId="16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8" borderId="7" xfId="0" applyFont="1" applyFill="1" applyBorder="1" applyAlignment="1">
      <alignment vertical="center" wrapText="1"/>
    </xf>
    <xf numFmtId="0" fontId="10" fillId="8" borderId="8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23" xfId="0" applyFont="1" applyBorder="1" applyAlignment="1">
      <alignment horizontal="center" vertical="center"/>
    </xf>
    <xf numFmtId="0" fontId="10" fillId="0" borderId="7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13" fillId="0" borderId="0" xfId="0" applyFont="1"/>
    <xf numFmtId="0" fontId="14" fillId="13" borderId="25" xfId="0" applyFont="1" applyFill="1" applyBorder="1" applyAlignment="1">
      <alignment horizontal="left" vertical="center"/>
    </xf>
    <xf numFmtId="0" fontId="14" fillId="14" borderId="26" xfId="0" applyFont="1" applyFill="1" applyBorder="1" applyAlignment="1">
      <alignment horizontal="center" vertical="center"/>
    </xf>
    <xf numFmtId="0" fontId="14" fillId="14" borderId="27" xfId="0" applyFont="1" applyFill="1" applyBorder="1" applyAlignment="1">
      <alignment horizontal="center" vertical="center"/>
    </xf>
    <xf numFmtId="0" fontId="14" fillId="15" borderId="26" xfId="0" applyFont="1" applyFill="1" applyBorder="1" applyAlignment="1">
      <alignment horizontal="center" vertical="center"/>
    </xf>
    <xf numFmtId="0" fontId="14" fillId="15" borderId="27" xfId="0" applyFont="1" applyFill="1" applyBorder="1" applyAlignment="1">
      <alignment horizontal="center" vertical="center"/>
    </xf>
    <xf numFmtId="0" fontId="14" fillId="16" borderId="26" xfId="0" applyFont="1" applyFill="1" applyBorder="1" applyAlignment="1">
      <alignment horizontal="center" vertical="center"/>
    </xf>
    <xf numFmtId="0" fontId="14" fillId="16" borderId="27" xfId="0" applyFont="1" applyFill="1" applyBorder="1" applyAlignment="1">
      <alignment horizontal="center" vertical="center"/>
    </xf>
    <xf numFmtId="0" fontId="14" fillId="17" borderId="26" xfId="0" applyFont="1" applyFill="1" applyBorder="1" applyAlignment="1">
      <alignment horizontal="center" vertical="center"/>
    </xf>
    <xf numFmtId="0" fontId="14" fillId="17" borderId="27" xfId="0" applyFont="1" applyFill="1" applyBorder="1" applyAlignment="1">
      <alignment horizontal="center" vertical="center"/>
    </xf>
    <xf numFmtId="0" fontId="14" fillId="18" borderId="26" xfId="0" applyFont="1" applyFill="1" applyBorder="1" applyAlignment="1">
      <alignment horizontal="center" vertical="center"/>
    </xf>
    <xf numFmtId="0" fontId="14" fillId="18" borderId="27" xfId="0" applyFont="1" applyFill="1" applyBorder="1" applyAlignment="1">
      <alignment horizontal="center" vertical="center"/>
    </xf>
    <xf numFmtId="0" fontId="14" fillId="19" borderId="26" xfId="0" applyFont="1" applyFill="1" applyBorder="1" applyAlignment="1">
      <alignment horizontal="center" vertical="center"/>
    </xf>
    <xf numFmtId="0" fontId="14" fillId="19" borderId="27" xfId="0" applyFont="1" applyFill="1" applyBorder="1" applyAlignment="1">
      <alignment horizontal="center" vertical="center"/>
    </xf>
    <xf numFmtId="0" fontId="9" fillId="20" borderId="0" xfId="0" applyFont="1" applyFill="1" applyAlignment="1">
      <alignment horizontal="left" vertical="center"/>
    </xf>
    <xf numFmtId="0" fontId="14" fillId="21" borderId="26" xfId="0" applyFont="1" applyFill="1" applyBorder="1" applyAlignment="1">
      <alignment horizontal="center" vertical="center"/>
    </xf>
    <xf numFmtId="0" fontId="14" fillId="21" borderId="28" xfId="0" applyFont="1" applyFill="1" applyBorder="1" applyAlignment="1">
      <alignment horizontal="center" vertical="center"/>
    </xf>
    <xf numFmtId="0" fontId="15" fillId="22" borderId="29" xfId="0" applyFont="1" applyFill="1" applyBorder="1" applyAlignment="1">
      <alignment horizontal="left" vertical="center" wrapText="1"/>
    </xf>
    <xf numFmtId="0" fontId="15" fillId="22" borderId="30" xfId="0" applyFont="1" applyFill="1" applyBorder="1" applyAlignment="1">
      <alignment horizontal="center" vertical="center"/>
    </xf>
    <xf numFmtId="0" fontId="15" fillId="22" borderId="32" xfId="0" applyFont="1" applyFill="1" applyBorder="1" applyAlignment="1">
      <alignment horizontal="center" vertical="center"/>
    </xf>
    <xf numFmtId="0" fontId="10" fillId="22" borderId="16" xfId="0" applyFont="1" applyFill="1" applyBorder="1" applyAlignment="1">
      <alignment vertical="center" wrapText="1"/>
    </xf>
    <xf numFmtId="0" fontId="10" fillId="22" borderId="18" xfId="0" applyFont="1" applyFill="1" applyBorder="1" applyAlignment="1">
      <alignment vertical="center" wrapText="1"/>
    </xf>
    <xf numFmtId="0" fontId="15" fillId="22" borderId="34" xfId="0" applyFont="1" applyFill="1" applyBorder="1" applyAlignment="1">
      <alignment horizontal="center" vertical="center"/>
    </xf>
    <xf numFmtId="0" fontId="15" fillId="23" borderId="36" xfId="0" applyFont="1" applyFill="1" applyBorder="1" applyAlignment="1">
      <alignment horizontal="left" vertical="center" wrapText="1"/>
    </xf>
    <xf numFmtId="0" fontId="15" fillId="23" borderId="37" xfId="0" applyFont="1" applyFill="1" applyBorder="1" applyAlignment="1">
      <alignment horizontal="center" vertical="center"/>
    </xf>
    <xf numFmtId="0" fontId="13" fillId="0" borderId="0" xfId="0" applyFont="1" applyAlignment="1">
      <alignment wrapText="1"/>
    </xf>
    <xf numFmtId="0" fontId="15" fillId="23" borderId="39" xfId="0" applyFont="1" applyFill="1" applyBorder="1" applyAlignment="1">
      <alignment horizontal="center" vertical="center"/>
    </xf>
    <xf numFmtId="0" fontId="15" fillId="23" borderId="40" xfId="0" applyFont="1" applyFill="1" applyBorder="1" applyAlignment="1">
      <alignment horizontal="center" vertical="center"/>
    </xf>
    <xf numFmtId="0" fontId="15" fillId="22" borderId="36" xfId="0" applyFont="1" applyFill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15" fillId="22" borderId="37" xfId="0" applyFont="1" applyFill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0" fontId="15" fillId="22" borderId="39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5" fillId="22" borderId="40" xfId="0" applyFont="1" applyFill="1" applyBorder="1" applyAlignment="1">
      <alignment horizontal="center" vertical="center"/>
    </xf>
    <xf numFmtId="0" fontId="15" fillId="23" borderId="41" xfId="0" applyFont="1" applyFill="1" applyBorder="1" applyAlignment="1">
      <alignment horizontal="left" vertical="center" wrapText="1"/>
    </xf>
    <xf numFmtId="0" fontId="15" fillId="23" borderId="42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15" fillId="23" borderId="45" xfId="0" applyFont="1" applyFill="1" applyBorder="1" applyAlignment="1">
      <alignment horizontal="center" vertical="center"/>
    </xf>
    <xf numFmtId="0" fontId="15" fillId="22" borderId="29" xfId="0" applyFont="1" applyFill="1" applyBorder="1" applyAlignment="1">
      <alignment horizontal="left" vertical="center"/>
    </xf>
    <xf numFmtId="0" fontId="13" fillId="22" borderId="34" xfId="0" applyFont="1" applyFill="1" applyBorder="1" applyAlignment="1">
      <alignment horizontal="center" vertical="center"/>
    </xf>
    <xf numFmtId="0" fontId="15" fillId="23" borderId="29" xfId="0" applyFont="1" applyFill="1" applyBorder="1" applyAlignment="1">
      <alignment horizontal="left" vertical="center"/>
    </xf>
    <xf numFmtId="0" fontId="13" fillId="23" borderId="34" xfId="0" applyFont="1" applyFill="1" applyBorder="1" applyAlignment="1">
      <alignment horizontal="center" vertical="center"/>
    </xf>
    <xf numFmtId="0" fontId="13" fillId="22" borderId="32" xfId="0" applyFont="1" applyFill="1" applyBorder="1" applyAlignment="1">
      <alignment horizontal="center" vertical="center"/>
    </xf>
    <xf numFmtId="0" fontId="15" fillId="23" borderId="30" xfId="0" applyFont="1" applyFill="1" applyBorder="1" applyAlignment="1">
      <alignment horizontal="center" vertical="center"/>
    </xf>
    <xf numFmtId="0" fontId="13" fillId="23" borderId="32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22" borderId="51" xfId="0" applyFont="1" applyFill="1" applyBorder="1" applyAlignment="1">
      <alignment horizontal="left" vertical="center"/>
    </xf>
    <xf numFmtId="0" fontId="13" fillId="22" borderId="58" xfId="0" applyFont="1" applyFill="1" applyBorder="1" applyAlignment="1">
      <alignment horizontal="center" vertical="center"/>
    </xf>
    <xf numFmtId="0" fontId="10" fillId="8" borderId="16" xfId="0" applyFont="1" applyFill="1" applyBorder="1" applyAlignment="1">
      <alignment vertical="center"/>
    </xf>
    <xf numFmtId="0" fontId="10" fillId="8" borderId="18" xfId="0" applyFont="1" applyFill="1" applyBorder="1" applyAlignment="1">
      <alignment vertical="center"/>
    </xf>
    <xf numFmtId="0" fontId="10" fillId="8" borderId="20" xfId="0" applyFont="1" applyFill="1" applyBorder="1" applyAlignment="1">
      <alignment horizontal="center" vertical="center"/>
    </xf>
    <xf numFmtId="0" fontId="10" fillId="8" borderId="0" xfId="0" applyFont="1" applyFill="1" applyAlignment="1">
      <alignment vertical="center"/>
    </xf>
    <xf numFmtId="0" fontId="19" fillId="23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center" vertical="center"/>
    </xf>
    <xf numFmtId="0" fontId="18" fillId="4" borderId="59" xfId="0" applyFont="1" applyFill="1" applyBorder="1" applyAlignment="1">
      <alignment horizontal="center" vertical="center"/>
    </xf>
    <xf numFmtId="0" fontId="7" fillId="0" borderId="60" xfId="0" applyFont="1" applyBorder="1"/>
    <xf numFmtId="0" fontId="7" fillId="0" borderId="61" xfId="0" applyFont="1" applyBorder="1"/>
    <xf numFmtId="0" fontId="19" fillId="22" borderId="62" xfId="0" applyFont="1" applyFill="1" applyBorder="1" applyAlignment="1">
      <alignment horizontal="left" vertical="center"/>
    </xf>
    <xf numFmtId="0" fontId="7" fillId="0" borderId="49" xfId="0" applyFont="1" applyBorder="1"/>
    <xf numFmtId="0" fontId="7" fillId="0" borderId="63" xfId="0" applyFont="1" applyBorder="1"/>
    <xf numFmtId="0" fontId="18" fillId="24" borderId="46" xfId="0" applyFont="1" applyFill="1" applyBorder="1" applyAlignment="1">
      <alignment horizontal="center" vertical="center" wrapText="1"/>
    </xf>
    <xf numFmtId="0" fontId="7" fillId="0" borderId="47" xfId="0" applyFont="1" applyBorder="1"/>
    <xf numFmtId="0" fontId="7" fillId="0" borderId="48" xfId="0" applyFont="1" applyBorder="1"/>
    <xf numFmtId="0" fontId="19" fillId="22" borderId="49" xfId="0" applyFont="1" applyFill="1" applyBorder="1" applyAlignment="1">
      <alignment horizontal="center" vertical="center"/>
    </xf>
    <xf numFmtId="0" fontId="7" fillId="0" borderId="30" xfId="0" applyFont="1" applyBorder="1"/>
    <xf numFmtId="0" fontId="19" fillId="23" borderId="49" xfId="0" applyFont="1" applyFill="1" applyBorder="1" applyAlignment="1">
      <alignment horizontal="center" vertical="center"/>
    </xf>
    <xf numFmtId="0" fontId="20" fillId="22" borderId="49" xfId="0" applyFont="1" applyFill="1" applyBorder="1" applyAlignment="1">
      <alignment horizontal="center" vertical="center"/>
    </xf>
    <xf numFmtId="0" fontId="7" fillId="0" borderId="50" xfId="0" applyFont="1" applyBorder="1"/>
    <xf numFmtId="0" fontId="20" fillId="23" borderId="49" xfId="0" applyFont="1" applyFill="1" applyBorder="1" applyAlignment="1">
      <alignment horizontal="center" vertical="center"/>
    </xf>
    <xf numFmtId="0" fontId="19" fillId="22" borderId="53" xfId="0" applyFont="1" applyFill="1" applyBorder="1" applyAlignment="1">
      <alignment horizontal="center" vertical="center"/>
    </xf>
    <xf numFmtId="0" fontId="7" fillId="0" borderId="54" xfId="0" applyFont="1" applyBorder="1"/>
    <xf numFmtId="0" fontId="7" fillId="0" borderId="55" xfId="0" applyFont="1" applyBorder="1"/>
    <xf numFmtId="0" fontId="23" fillId="22" borderId="56" xfId="0" applyFont="1" applyFill="1" applyBorder="1" applyAlignment="1">
      <alignment horizontal="center" vertical="center"/>
    </xf>
    <xf numFmtId="0" fontId="7" fillId="0" borderId="57" xfId="0" applyFont="1" applyBorder="1"/>
    <xf numFmtId="0" fontId="8" fillId="11" borderId="5" xfId="0" applyFont="1" applyFill="1" applyBorder="1" applyAlignment="1">
      <alignment horizontal="center" vertical="center"/>
    </xf>
    <xf numFmtId="0" fontId="7" fillId="0" borderId="6" xfId="0" applyFont="1" applyBorder="1"/>
    <xf numFmtId="0" fontId="8" fillId="12" borderId="5" xfId="0" applyFont="1" applyFill="1" applyBorder="1" applyAlignment="1">
      <alignment horizontal="center" vertical="center"/>
    </xf>
    <xf numFmtId="0" fontId="7" fillId="0" borderId="9" xfId="0" applyFont="1" applyBorder="1"/>
    <xf numFmtId="164" fontId="12" fillId="5" borderId="17" xfId="0" applyNumberFormat="1" applyFont="1" applyFill="1" applyBorder="1" applyAlignment="1">
      <alignment horizontal="center" vertical="center"/>
    </xf>
    <xf numFmtId="0" fontId="7" fillId="0" borderId="19" xfId="0" applyFont="1" applyBorder="1"/>
    <xf numFmtId="164" fontId="12" fillId="6" borderId="17" xfId="0" applyNumberFormat="1" applyFont="1" applyFill="1" applyBorder="1" applyAlignment="1">
      <alignment horizontal="center" vertical="center"/>
    </xf>
    <xf numFmtId="164" fontId="12" fillId="7" borderId="17" xfId="0" applyNumberFormat="1" applyFont="1" applyFill="1" applyBorder="1" applyAlignment="1">
      <alignment horizontal="center" vertical="center"/>
    </xf>
    <xf numFmtId="164" fontId="12" fillId="9" borderId="17" xfId="0" applyNumberFormat="1" applyFont="1" applyFill="1" applyBorder="1" applyAlignment="1">
      <alignment horizontal="center" vertical="center"/>
    </xf>
    <xf numFmtId="164" fontId="12" fillId="10" borderId="17" xfId="0" applyNumberFormat="1" applyFont="1" applyFill="1" applyBorder="1" applyAlignment="1">
      <alignment horizontal="center" vertical="center"/>
    </xf>
    <xf numFmtId="164" fontId="12" fillId="11" borderId="17" xfId="0" applyNumberFormat="1" applyFont="1" applyFill="1" applyBorder="1" applyAlignment="1">
      <alignment horizontal="center" vertical="center"/>
    </xf>
    <xf numFmtId="164" fontId="12" fillId="12" borderId="17" xfId="0" applyNumberFormat="1" applyFont="1" applyFill="1" applyBorder="1" applyAlignment="1">
      <alignment horizontal="center" vertical="center"/>
    </xf>
    <xf numFmtId="0" fontId="7" fillId="0" borderId="24" xfId="0" applyFont="1" applyBorder="1"/>
    <xf numFmtId="0" fontId="8" fillId="5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0" fillId="0" borderId="0" xfId="0"/>
    <xf numFmtId="0" fontId="9" fillId="20" borderId="0" xfId="0" applyFont="1" applyFill="1" applyAlignment="1">
      <alignment horizontal="left" vertical="center"/>
    </xf>
    <xf numFmtId="0" fontId="10" fillId="0" borderId="14" xfId="0" applyFont="1" applyBorder="1" applyAlignment="1">
      <alignment vertical="center"/>
    </xf>
    <xf numFmtId="0" fontId="7" fillId="0" borderId="31" xfId="0" applyFont="1" applyBorder="1"/>
    <xf numFmtId="0" fontId="10" fillId="8" borderId="21" xfId="0" applyFont="1" applyFill="1" applyBorder="1" applyAlignment="1">
      <alignment vertical="center"/>
    </xf>
    <xf numFmtId="0" fontId="7" fillId="0" borderId="38" xfId="0" applyFont="1" applyBorder="1"/>
    <xf numFmtId="0" fontId="10" fillId="0" borderId="21" xfId="0" applyFont="1" applyBorder="1" applyAlignment="1">
      <alignment vertical="center"/>
    </xf>
    <xf numFmtId="0" fontId="7" fillId="0" borderId="44" xfId="0" applyFont="1" applyBorder="1"/>
    <xf numFmtId="0" fontId="7" fillId="0" borderId="52" xfId="0" applyFont="1" applyBorder="1"/>
    <xf numFmtId="0" fontId="17" fillId="0" borderId="0" xfId="0" applyFont="1" applyAlignment="1">
      <alignment vertical="center"/>
    </xf>
    <xf numFmtId="0" fontId="10" fillId="0" borderId="21" xfId="0" applyFont="1" applyBorder="1" applyAlignment="1">
      <alignment vertical="center" wrapText="1"/>
    </xf>
    <xf numFmtId="0" fontId="7" fillId="0" borderId="22" xfId="0" applyFont="1" applyBorder="1"/>
    <xf numFmtId="0" fontId="10" fillId="8" borderId="21" xfId="0" applyFont="1" applyFill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7" fillId="0" borderId="15" xfId="0" applyFont="1" applyBorder="1"/>
    <xf numFmtId="0" fontId="10" fillId="22" borderId="33" xfId="0" applyFont="1" applyFill="1" applyBorder="1" applyAlignment="1">
      <alignment vertical="center" wrapText="1"/>
    </xf>
    <xf numFmtId="0" fontId="7" fillId="0" borderId="35" xfId="0" applyFont="1" applyBorder="1"/>
    <xf numFmtId="0" fontId="5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3" borderId="2" xfId="0" applyFont="1" applyFill="1" applyBorder="1" applyAlignment="1">
      <alignment horizontal="left" vertical="center" wrapText="1"/>
    </xf>
    <xf numFmtId="0" fontId="7" fillId="0" borderId="3" xfId="0" applyFont="1" applyBorder="1"/>
    <xf numFmtId="0" fontId="7" fillId="0" borderId="4" xfId="0" applyFont="1" applyBorder="1"/>
    <xf numFmtId="0" fontId="9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CC4D0E"/>
      </a:accent1>
      <a:accent2>
        <a:srgbClr val="9F2936"/>
      </a:accent2>
      <a:accent3>
        <a:srgbClr val="1B587C"/>
      </a:accent3>
      <a:accent4>
        <a:srgbClr val="45763A"/>
      </a:accent4>
      <a:accent5>
        <a:srgbClr val="604878"/>
      </a:accent5>
      <a:accent6>
        <a:srgbClr val="CB2383"/>
      </a:accent6>
      <a:hlink>
        <a:srgbClr val="6B9F25"/>
      </a:hlink>
      <a:folHlink>
        <a:srgbClr val="6B9F25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alendar.google.com/calendar/event?action=TEMPLATE&amp;tmeid=YzhzajZkaG42cGdqZ2JiNjc1Z2phYjlrNmtxMzRiOXA2MHIzNmJiNGM4cmoycDFsNm9yM2djOW82OF8yMDI2MTAxOCBwY3M2OTlpYzRkbzZxdThzdGxyMGVpNWpiZ0Bn&amp;tmsrc=pcs699ic4do6qu8stlr0ei5jbg%40group.calendar.google.com&amp;scp=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P23"/>
  <sheetViews>
    <sheetView workbookViewId="0">
      <selection activeCell="M20" sqref="M20"/>
    </sheetView>
  </sheetViews>
  <sheetFormatPr defaultColWidth="12.59765625" defaultRowHeight="15" customHeight="1"/>
  <cols>
    <col min="1" max="1" width="3.09765625" customWidth="1"/>
    <col min="2" max="2" width="38.8984375" customWidth="1"/>
    <col min="3" max="3" width="7.59765625" customWidth="1"/>
    <col min="4" max="4" width="4.59765625" customWidth="1"/>
    <col min="5" max="5" width="7.59765625" customWidth="1"/>
    <col min="6" max="6" width="4.59765625" customWidth="1"/>
    <col min="7" max="7" width="7.59765625" customWidth="1"/>
    <col min="8" max="8" width="4.59765625" customWidth="1"/>
    <col min="9" max="9" width="7.59765625" customWidth="1"/>
    <col min="10" max="10" width="4.59765625" customWidth="1"/>
    <col min="11" max="11" width="7.59765625" customWidth="1"/>
    <col min="12" max="12" width="4.59765625" customWidth="1"/>
    <col min="13" max="13" width="7.59765625" customWidth="1"/>
    <col min="14" max="14" width="4.59765625" customWidth="1"/>
    <col min="15" max="15" width="7.59765625" customWidth="1"/>
    <col min="16" max="16" width="4.59765625" customWidth="1"/>
  </cols>
  <sheetData>
    <row r="1" spans="2:16" ht="31.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2:16" ht="19.5" customHeight="1">
      <c r="B2" s="3" t="s">
        <v>5</v>
      </c>
      <c r="C2" s="114" t="s">
        <v>6</v>
      </c>
      <c r="D2" s="102"/>
      <c r="E2" s="115" t="s">
        <v>11</v>
      </c>
      <c r="F2" s="102"/>
      <c r="G2" s="116" t="s">
        <v>17</v>
      </c>
      <c r="H2" s="102"/>
      <c r="I2" s="117" t="s">
        <v>20</v>
      </c>
      <c r="J2" s="102"/>
      <c r="K2" s="118" t="s">
        <v>22</v>
      </c>
      <c r="L2" s="102"/>
      <c r="M2" s="101" t="s">
        <v>23</v>
      </c>
      <c r="N2" s="102"/>
      <c r="O2" s="103" t="s">
        <v>24</v>
      </c>
      <c r="P2" s="104"/>
    </row>
    <row r="3" spans="2:16" ht="24" customHeight="1">
      <c r="B3" s="11">
        <f>StartDate</f>
        <v>46314</v>
      </c>
      <c r="C3" s="105">
        <f>StartDate</f>
        <v>46314</v>
      </c>
      <c r="D3" s="106"/>
      <c r="E3" s="107">
        <f>StartDate+1</f>
        <v>46315</v>
      </c>
      <c r="F3" s="106"/>
      <c r="G3" s="108">
        <f>StartDate+2</f>
        <v>46316</v>
      </c>
      <c r="H3" s="106"/>
      <c r="I3" s="109">
        <f>StartDate+3</f>
        <v>46317</v>
      </c>
      <c r="J3" s="106"/>
      <c r="K3" s="110">
        <f>StartDate+4</f>
        <v>46318</v>
      </c>
      <c r="L3" s="106"/>
      <c r="M3" s="111">
        <f>StartDate+5</f>
        <v>46319</v>
      </c>
      <c r="N3" s="106"/>
      <c r="O3" s="112">
        <f>StartDate+6</f>
        <v>46320</v>
      </c>
      <c r="P3" s="113"/>
    </row>
    <row r="4" spans="2:16" ht="18" customHeight="1">
      <c r="B4" s="26" t="s">
        <v>50</v>
      </c>
      <c r="C4" s="27" t="s">
        <v>52</v>
      </c>
      <c r="D4" s="28" t="s">
        <v>57</v>
      </c>
      <c r="E4" s="29" t="s">
        <v>52</v>
      </c>
      <c r="F4" s="30" t="s">
        <v>57</v>
      </c>
      <c r="G4" s="31" t="s">
        <v>52</v>
      </c>
      <c r="H4" s="32" t="s">
        <v>57</v>
      </c>
      <c r="I4" s="33" t="s">
        <v>52</v>
      </c>
      <c r="J4" s="34" t="s">
        <v>57</v>
      </c>
      <c r="K4" s="35" t="s">
        <v>52</v>
      </c>
      <c r="L4" s="36" t="s">
        <v>57</v>
      </c>
      <c r="M4" s="37" t="s">
        <v>52</v>
      </c>
      <c r="N4" s="38" t="s">
        <v>57</v>
      </c>
      <c r="O4" s="40" t="s">
        <v>52</v>
      </c>
      <c r="P4" s="41" t="s">
        <v>57</v>
      </c>
    </row>
    <row r="5" spans="2:16" ht="19.5" customHeight="1">
      <c r="B5" s="42" t="s">
        <v>27</v>
      </c>
      <c r="C5" s="43" t="s">
        <v>32</v>
      </c>
      <c r="D5" s="44" t="b">
        <v>0</v>
      </c>
      <c r="E5" s="43" t="s">
        <v>35</v>
      </c>
      <c r="F5" s="44" t="b">
        <v>0</v>
      </c>
      <c r="G5" s="43" t="s">
        <v>42</v>
      </c>
      <c r="H5" s="44" t="b">
        <v>0</v>
      </c>
      <c r="I5" s="43" t="s">
        <v>46</v>
      </c>
      <c r="J5" s="44" t="b">
        <v>0</v>
      </c>
      <c r="K5" s="43" t="s">
        <v>19</v>
      </c>
      <c r="L5" s="44" t="b">
        <v>0</v>
      </c>
      <c r="M5" s="43" t="s">
        <v>32</v>
      </c>
      <c r="N5" s="44" t="b">
        <v>0</v>
      </c>
      <c r="O5" s="43" t="s">
        <v>35</v>
      </c>
      <c r="P5" s="47" t="b">
        <v>0</v>
      </c>
    </row>
    <row r="6" spans="2:16" ht="19.5" customHeight="1">
      <c r="B6" s="48" t="s">
        <v>33</v>
      </c>
      <c r="C6" s="49" t="s">
        <v>35</v>
      </c>
      <c r="D6" s="51" t="b">
        <v>0</v>
      </c>
      <c r="E6" s="49" t="s">
        <v>42</v>
      </c>
      <c r="F6" s="51" t="b">
        <v>0</v>
      </c>
      <c r="G6" s="49" t="s">
        <v>46</v>
      </c>
      <c r="H6" s="51" t="b">
        <v>0</v>
      </c>
      <c r="I6" s="49" t="s">
        <v>19</v>
      </c>
      <c r="J6" s="51" t="b">
        <v>0</v>
      </c>
      <c r="K6" s="49" t="s">
        <v>32</v>
      </c>
      <c r="L6" s="51" t="b">
        <v>0</v>
      </c>
      <c r="M6" s="49" t="s">
        <v>35</v>
      </c>
      <c r="N6" s="51" t="b">
        <v>0</v>
      </c>
      <c r="O6" s="49" t="s">
        <v>19</v>
      </c>
      <c r="P6" s="52" t="b">
        <v>0</v>
      </c>
    </row>
    <row r="7" spans="2:16" ht="19.5" customHeight="1">
      <c r="B7" s="53" t="s">
        <v>44</v>
      </c>
      <c r="C7" s="55" t="s">
        <v>42</v>
      </c>
      <c r="D7" s="57" t="b">
        <v>0</v>
      </c>
      <c r="E7" s="55" t="s">
        <v>46</v>
      </c>
      <c r="F7" s="57" t="b">
        <v>0</v>
      </c>
      <c r="G7" s="55" t="s">
        <v>19</v>
      </c>
      <c r="H7" s="57" t="b">
        <v>0</v>
      </c>
      <c r="I7" s="55" t="s">
        <v>32</v>
      </c>
      <c r="J7" s="57" t="b">
        <v>0</v>
      </c>
      <c r="K7" s="55" t="s">
        <v>35</v>
      </c>
      <c r="L7" s="57" t="b">
        <v>0</v>
      </c>
      <c r="M7" s="55" t="s">
        <v>42</v>
      </c>
      <c r="N7" s="57" t="b">
        <v>0</v>
      </c>
      <c r="O7" s="55" t="s">
        <v>19</v>
      </c>
      <c r="P7" s="60" t="b">
        <v>0</v>
      </c>
    </row>
    <row r="8" spans="2:16" ht="25.5" customHeight="1">
      <c r="B8" s="61" t="s">
        <v>87</v>
      </c>
      <c r="C8" s="62" t="s">
        <v>46</v>
      </c>
      <c r="D8" s="63" t="b">
        <v>0</v>
      </c>
      <c r="E8" s="62" t="s">
        <v>19</v>
      </c>
      <c r="F8" s="63" t="b">
        <v>0</v>
      </c>
      <c r="G8" s="62" t="s">
        <v>32</v>
      </c>
      <c r="H8" s="63" t="b">
        <v>0</v>
      </c>
      <c r="I8" s="62" t="s">
        <v>35</v>
      </c>
      <c r="J8" s="63" t="b">
        <v>0</v>
      </c>
      <c r="K8" s="62" t="s">
        <v>42</v>
      </c>
      <c r="L8" s="63" t="b">
        <v>0</v>
      </c>
      <c r="M8" s="62" t="s">
        <v>46</v>
      </c>
      <c r="N8" s="63" t="b">
        <v>0</v>
      </c>
      <c r="O8" s="62" t="s">
        <v>42</v>
      </c>
      <c r="P8" s="64" t="b">
        <v>0</v>
      </c>
    </row>
    <row r="9" spans="2:16" ht="21" customHeight="1">
      <c r="B9" s="87" t="s">
        <v>38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9"/>
    </row>
    <row r="10" spans="2:16" ht="18" customHeight="1">
      <c r="B10" s="65" t="s">
        <v>91</v>
      </c>
      <c r="C10" s="90" t="s">
        <v>32</v>
      </c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91"/>
      <c r="P10" s="66" t="b">
        <v>0</v>
      </c>
    </row>
    <row r="11" spans="2:16" ht="18" customHeight="1">
      <c r="B11" s="67" t="s">
        <v>66</v>
      </c>
      <c r="C11" s="92" t="s">
        <v>92</v>
      </c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91"/>
      <c r="P11" s="68" t="b">
        <v>0</v>
      </c>
    </row>
    <row r="12" spans="2:16" ht="18" customHeight="1">
      <c r="B12" s="65" t="s">
        <v>93</v>
      </c>
      <c r="C12" s="43" t="s">
        <v>35</v>
      </c>
      <c r="D12" s="69" t="b">
        <v>0</v>
      </c>
      <c r="E12" s="93" t="s">
        <v>94</v>
      </c>
      <c r="F12" s="85"/>
      <c r="G12" s="85"/>
      <c r="H12" s="85"/>
      <c r="I12" s="85"/>
      <c r="J12" s="85"/>
      <c r="K12" s="85"/>
      <c r="L12" s="94"/>
      <c r="M12" s="43" t="s">
        <v>95</v>
      </c>
      <c r="N12" s="69" t="b">
        <v>0</v>
      </c>
      <c r="O12" s="43" t="s">
        <v>60</v>
      </c>
      <c r="P12" s="66" t="b">
        <v>0</v>
      </c>
    </row>
    <row r="13" spans="2:16" ht="18" customHeight="1">
      <c r="B13" s="67" t="s">
        <v>96</v>
      </c>
      <c r="C13" s="70" t="s">
        <v>35</v>
      </c>
      <c r="D13" s="71" t="b">
        <v>0</v>
      </c>
      <c r="E13" s="95" t="s">
        <v>94</v>
      </c>
      <c r="F13" s="85"/>
      <c r="G13" s="85"/>
      <c r="H13" s="85"/>
      <c r="I13" s="85"/>
      <c r="J13" s="85"/>
      <c r="K13" s="85"/>
      <c r="L13" s="94"/>
      <c r="M13" s="70" t="s">
        <v>35</v>
      </c>
      <c r="N13" s="71" t="b">
        <v>0</v>
      </c>
      <c r="O13" s="70" t="s">
        <v>35</v>
      </c>
      <c r="P13" s="68" t="b">
        <v>0</v>
      </c>
    </row>
    <row r="14" spans="2:16" ht="18" customHeight="1">
      <c r="B14" s="73" t="s">
        <v>100</v>
      </c>
      <c r="C14" s="96" t="s">
        <v>101</v>
      </c>
      <c r="D14" s="97"/>
      <c r="E14" s="97"/>
      <c r="F14" s="97"/>
      <c r="G14" s="97"/>
      <c r="H14" s="97"/>
      <c r="I14" s="97"/>
      <c r="J14" s="97"/>
      <c r="K14" s="97"/>
      <c r="L14" s="97"/>
      <c r="M14" s="98"/>
      <c r="N14" s="99" t="b">
        <v>0</v>
      </c>
      <c r="O14" s="100"/>
      <c r="P14" s="74" t="b">
        <v>0</v>
      </c>
    </row>
    <row r="15" spans="2:16" ht="18" customHeight="1"/>
    <row r="16" spans="2:16" ht="18" customHeight="1"/>
    <row r="17" spans="2:16" ht="18" customHeight="1">
      <c r="B17" s="81" t="s">
        <v>110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3"/>
    </row>
    <row r="18" spans="2:16" ht="12" customHeight="1">
      <c r="B18" s="84" t="s">
        <v>120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6"/>
    </row>
    <row r="19" spans="2:16" ht="24" customHeight="1">
      <c r="B19" s="84" t="s">
        <v>123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6"/>
    </row>
    <row r="20" spans="2:16" ht="24" customHeight="1"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</row>
    <row r="21" spans="2:16" ht="24" customHeight="1"/>
    <row r="22" spans="2:16" ht="24" customHeight="1"/>
    <row r="23" spans="2:16" ht="12" customHeight="1"/>
  </sheetData>
  <mergeCells count="24">
    <mergeCell ref="M2:N2"/>
    <mergeCell ref="O2:P2"/>
    <mergeCell ref="C3:D3"/>
    <mergeCell ref="E3:F3"/>
    <mergeCell ref="G3:H3"/>
    <mergeCell ref="I3:J3"/>
    <mergeCell ref="K3:L3"/>
    <mergeCell ref="M3:N3"/>
    <mergeCell ref="O3:P3"/>
    <mergeCell ref="C2:D2"/>
    <mergeCell ref="E2:F2"/>
    <mergeCell ref="G2:H2"/>
    <mergeCell ref="I2:J2"/>
    <mergeCell ref="K2:L2"/>
    <mergeCell ref="B17:P17"/>
    <mergeCell ref="B18:P18"/>
    <mergeCell ref="B19:P19"/>
    <mergeCell ref="B9:P9"/>
    <mergeCell ref="C10:O10"/>
    <mergeCell ref="C11:O11"/>
    <mergeCell ref="E12:L12"/>
    <mergeCell ref="E13:L13"/>
    <mergeCell ref="C14:M14"/>
    <mergeCell ref="N14:O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M36"/>
  <sheetViews>
    <sheetView showGridLines="0" tabSelected="1" workbookViewId="0">
      <selection activeCell="D9" sqref="D9"/>
    </sheetView>
  </sheetViews>
  <sheetFormatPr defaultColWidth="12.59765625" defaultRowHeight="15" customHeight="1"/>
  <cols>
    <col min="1" max="1" width="2.69921875" customWidth="1"/>
    <col min="2" max="2" width="17.59765625" customWidth="1"/>
    <col min="3" max="4" width="16.3984375" customWidth="1"/>
    <col min="5" max="5" width="40.69921875" customWidth="1"/>
    <col min="6" max="6" width="13.8984375" customWidth="1"/>
    <col min="7" max="7" width="3.59765625" customWidth="1"/>
    <col min="8" max="8" width="35.69921875" customWidth="1"/>
    <col min="9" max="9" width="16.3984375" customWidth="1"/>
    <col min="10" max="10" width="13.8984375" customWidth="1"/>
    <col min="11" max="11" width="16.3984375" customWidth="1"/>
    <col min="12" max="12" width="20.09765625" customWidth="1"/>
    <col min="13" max="13" width="38.8984375" customWidth="1"/>
  </cols>
  <sheetData>
    <row r="2" spans="2:13" ht="30" customHeight="1">
      <c r="B2" s="138" t="s">
        <v>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</row>
    <row r="3" spans="2:13" ht="19.5" customHeight="1">
      <c r="B3" s="139" t="s">
        <v>2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</row>
    <row r="5" spans="2:13" ht="13.8">
      <c r="B5" s="119" t="s">
        <v>3</v>
      </c>
      <c r="C5" s="120"/>
      <c r="D5" s="120"/>
      <c r="E5" s="120"/>
      <c r="F5" s="120"/>
      <c r="H5" s="140" t="s">
        <v>4</v>
      </c>
      <c r="I5" s="141"/>
      <c r="J5" s="141"/>
      <c r="K5" s="141"/>
      <c r="L5" s="141"/>
      <c r="M5" s="142"/>
    </row>
    <row r="6" spans="2:13" ht="13.8">
      <c r="B6" s="4" t="s">
        <v>7</v>
      </c>
      <c r="C6" s="4" t="s">
        <v>8</v>
      </c>
      <c r="D6" s="4" t="s">
        <v>9</v>
      </c>
      <c r="E6" s="4" t="s">
        <v>10</v>
      </c>
      <c r="F6" s="4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143" t="s">
        <v>18</v>
      </c>
      <c r="M6" s="120"/>
    </row>
    <row r="7" spans="2:13" ht="13.8">
      <c r="B7" s="6" t="s">
        <v>19</v>
      </c>
      <c r="C7" s="7" t="s">
        <v>21</v>
      </c>
      <c r="D7" s="7" t="s">
        <v>25</v>
      </c>
      <c r="E7" s="7" t="s">
        <v>26</v>
      </c>
      <c r="F7" s="8" t="b">
        <v>1</v>
      </c>
      <c r="H7" s="9" t="s">
        <v>27</v>
      </c>
      <c r="I7" s="10" t="s">
        <v>28</v>
      </c>
      <c r="J7" s="10" t="s">
        <v>29</v>
      </c>
      <c r="K7" s="10" t="s">
        <v>30</v>
      </c>
      <c r="L7" s="133" t="s">
        <v>31</v>
      </c>
      <c r="M7" s="134"/>
    </row>
    <row r="8" spans="2:13" ht="13.8">
      <c r="B8" s="12" t="s">
        <v>32</v>
      </c>
      <c r="C8" s="13" t="s">
        <v>21</v>
      </c>
      <c r="D8" s="13" t="s">
        <v>25</v>
      </c>
      <c r="E8" s="13" t="s">
        <v>26</v>
      </c>
      <c r="F8" s="14" t="b">
        <v>1</v>
      </c>
      <c r="H8" s="15" t="s">
        <v>33</v>
      </c>
      <c r="I8" s="16" t="s">
        <v>28</v>
      </c>
      <c r="J8" s="16" t="s">
        <v>29</v>
      </c>
      <c r="K8" s="16" t="s">
        <v>30</v>
      </c>
      <c r="L8" s="132" t="s">
        <v>34</v>
      </c>
      <c r="M8" s="131"/>
    </row>
    <row r="9" spans="2:13" ht="13.8">
      <c r="B9" s="17" t="s">
        <v>35</v>
      </c>
      <c r="C9" s="18" t="s">
        <v>36</v>
      </c>
      <c r="D9" s="18" t="s">
        <v>25</v>
      </c>
      <c r="E9" s="18" t="s">
        <v>37</v>
      </c>
      <c r="F9" s="19" t="b">
        <v>1</v>
      </c>
      <c r="H9" s="20" t="s">
        <v>38</v>
      </c>
      <c r="I9" s="21" t="s">
        <v>39</v>
      </c>
      <c r="J9" s="21" t="s">
        <v>29</v>
      </c>
      <c r="K9" s="21" t="s">
        <v>40</v>
      </c>
      <c r="L9" s="130" t="s">
        <v>41</v>
      </c>
      <c r="M9" s="131"/>
    </row>
    <row r="10" spans="2:13" ht="13.8">
      <c r="B10" s="6" t="s">
        <v>42</v>
      </c>
      <c r="C10" s="7" t="s">
        <v>36</v>
      </c>
      <c r="D10" s="7" t="s">
        <v>43</v>
      </c>
      <c r="E10" s="7" t="s">
        <v>37</v>
      </c>
      <c r="F10" s="8" t="b">
        <v>1</v>
      </c>
      <c r="H10" s="15" t="s">
        <v>44</v>
      </c>
      <c r="I10" s="16" t="s">
        <v>28</v>
      </c>
      <c r="J10" s="16" t="s">
        <v>29</v>
      </c>
      <c r="K10" s="16" t="s">
        <v>40</v>
      </c>
      <c r="L10" s="132" t="s">
        <v>45</v>
      </c>
      <c r="M10" s="131"/>
    </row>
    <row r="11" spans="2:13" ht="13.8">
      <c r="B11" s="22" t="s">
        <v>46</v>
      </c>
      <c r="C11" s="23" t="s">
        <v>36</v>
      </c>
      <c r="D11" s="23" t="s">
        <v>43</v>
      </c>
      <c r="E11" s="23" t="s">
        <v>37</v>
      </c>
      <c r="F11" s="24" t="b">
        <v>1</v>
      </c>
      <c r="G11" s="25" t="s">
        <v>47</v>
      </c>
      <c r="H11" s="20" t="s">
        <v>48</v>
      </c>
      <c r="I11" s="21" t="s">
        <v>28</v>
      </c>
      <c r="J11" s="21" t="s">
        <v>29</v>
      </c>
      <c r="K11" s="21" t="s">
        <v>30</v>
      </c>
      <c r="L11" s="130" t="s">
        <v>49</v>
      </c>
      <c r="M11" s="131"/>
    </row>
    <row r="12" spans="2:13" ht="13.8">
      <c r="B12" s="6" t="s">
        <v>51</v>
      </c>
      <c r="C12" s="7" t="s">
        <v>36</v>
      </c>
      <c r="D12" s="7" t="s">
        <v>53</v>
      </c>
      <c r="E12" s="7" t="s">
        <v>54</v>
      </c>
      <c r="F12" s="8" t="b">
        <v>1</v>
      </c>
      <c r="G12" s="25" t="s">
        <v>47</v>
      </c>
      <c r="H12" s="15" t="s">
        <v>55</v>
      </c>
      <c r="I12" s="16" t="s">
        <v>56</v>
      </c>
      <c r="J12" s="16" t="s">
        <v>58</v>
      </c>
      <c r="K12" s="16" t="s">
        <v>23</v>
      </c>
      <c r="L12" s="132" t="s">
        <v>59</v>
      </c>
      <c r="M12" s="131"/>
    </row>
    <row r="13" spans="2:13" ht="13.8">
      <c r="B13" s="22" t="s">
        <v>60</v>
      </c>
      <c r="C13" s="23" t="s">
        <v>36</v>
      </c>
      <c r="D13" s="23" t="s">
        <v>53</v>
      </c>
      <c r="E13" s="23" t="s">
        <v>54</v>
      </c>
      <c r="F13" s="24" t="b">
        <v>1</v>
      </c>
      <c r="H13" s="20" t="s">
        <v>61</v>
      </c>
      <c r="I13" s="21" t="s">
        <v>54</v>
      </c>
      <c r="J13" s="21" t="s">
        <v>58</v>
      </c>
      <c r="K13" s="21" t="s">
        <v>23</v>
      </c>
      <c r="L13" s="130" t="s">
        <v>62</v>
      </c>
      <c r="M13" s="131"/>
    </row>
    <row r="14" spans="2:13" ht="13.8">
      <c r="H14" s="15" t="s">
        <v>63</v>
      </c>
      <c r="I14" s="16" t="s">
        <v>28</v>
      </c>
      <c r="J14" s="16" t="s">
        <v>58</v>
      </c>
      <c r="K14" s="16" t="s">
        <v>24</v>
      </c>
      <c r="L14" s="132" t="s">
        <v>64</v>
      </c>
      <c r="M14" s="131"/>
    </row>
    <row r="15" spans="2:13" ht="13.8">
      <c r="B15" s="119" t="s">
        <v>65</v>
      </c>
      <c r="C15" s="120"/>
      <c r="D15" s="120"/>
      <c r="E15" s="120"/>
      <c r="F15" s="120"/>
      <c r="G15" s="25" t="s">
        <v>47</v>
      </c>
      <c r="H15" s="20" t="s">
        <v>66</v>
      </c>
      <c r="I15" s="21" t="s">
        <v>54</v>
      </c>
      <c r="J15" s="21" t="s">
        <v>58</v>
      </c>
      <c r="K15" s="21" t="s">
        <v>24</v>
      </c>
      <c r="L15" s="130" t="s">
        <v>67</v>
      </c>
      <c r="M15" s="131"/>
    </row>
    <row r="16" spans="2:13" ht="27.6">
      <c r="B16" s="39" t="s">
        <v>68</v>
      </c>
      <c r="C16" s="39" t="s">
        <v>69</v>
      </c>
      <c r="D16" s="121" t="s">
        <v>70</v>
      </c>
      <c r="E16" s="120"/>
      <c r="F16" s="39" t="s">
        <v>12</v>
      </c>
      <c r="G16" s="25" t="s">
        <v>47</v>
      </c>
      <c r="H16" s="15" t="s">
        <v>71</v>
      </c>
      <c r="I16" s="16" t="s">
        <v>19</v>
      </c>
      <c r="J16" s="16" t="s">
        <v>43</v>
      </c>
      <c r="K16" s="16" t="s">
        <v>72</v>
      </c>
      <c r="L16" s="132" t="s">
        <v>73</v>
      </c>
      <c r="M16" s="131"/>
    </row>
    <row r="17" spans="2:13" ht="27.6">
      <c r="B17" s="17" t="s">
        <v>25</v>
      </c>
      <c r="C17" s="18" t="s">
        <v>74</v>
      </c>
      <c r="D17" s="122" t="s">
        <v>75</v>
      </c>
      <c r="E17" s="123"/>
      <c r="F17" s="19" t="b">
        <v>1</v>
      </c>
      <c r="H17" s="45" t="s">
        <v>76</v>
      </c>
      <c r="I17" s="46" t="s">
        <v>28</v>
      </c>
      <c r="J17" s="46" t="s">
        <v>43</v>
      </c>
      <c r="K17" s="46" t="s">
        <v>72</v>
      </c>
      <c r="L17" s="135" t="s">
        <v>77</v>
      </c>
      <c r="M17" s="136"/>
    </row>
    <row r="18" spans="2:13" ht="13.8">
      <c r="B18" s="6" t="s">
        <v>43</v>
      </c>
      <c r="C18" s="7" t="s">
        <v>78</v>
      </c>
      <c r="D18" s="124" t="s">
        <v>79</v>
      </c>
      <c r="E18" s="125"/>
      <c r="F18" s="8" t="b">
        <v>1</v>
      </c>
      <c r="H18" s="50"/>
      <c r="I18" s="50"/>
      <c r="J18" s="50"/>
      <c r="K18" s="50"/>
      <c r="L18" s="50"/>
      <c r="M18" s="50"/>
    </row>
    <row r="19" spans="2:13" ht="13.8">
      <c r="B19" s="22" t="s">
        <v>53</v>
      </c>
      <c r="C19" s="23" t="s">
        <v>80</v>
      </c>
      <c r="D19" s="126" t="s">
        <v>81</v>
      </c>
      <c r="E19" s="125"/>
      <c r="F19" s="24" t="b">
        <v>1</v>
      </c>
      <c r="H19" s="137" t="s">
        <v>82</v>
      </c>
      <c r="I19" s="120"/>
      <c r="J19" s="120"/>
      <c r="K19" s="120"/>
      <c r="L19" s="120"/>
      <c r="M19" s="50"/>
    </row>
    <row r="20" spans="2:13" ht="13.8">
      <c r="B20" s="119" t="s">
        <v>83</v>
      </c>
      <c r="C20" s="120"/>
      <c r="D20" s="120"/>
      <c r="E20" s="120"/>
      <c r="F20" s="120"/>
      <c r="H20" s="54" t="s">
        <v>84</v>
      </c>
      <c r="I20" s="56">
        <v>46314</v>
      </c>
      <c r="J20" s="129" t="s">
        <v>85</v>
      </c>
      <c r="K20" s="120"/>
      <c r="L20" s="58"/>
    </row>
    <row r="21" spans="2:13" ht="13.8">
      <c r="B21" s="39" t="s">
        <v>7</v>
      </c>
      <c r="C21" s="121" t="s">
        <v>86</v>
      </c>
      <c r="D21" s="120"/>
      <c r="E21" s="120"/>
      <c r="F21" s="39" t="s">
        <v>12</v>
      </c>
      <c r="H21" s="54" t="s">
        <v>47</v>
      </c>
      <c r="I21" s="59" t="s">
        <v>47</v>
      </c>
      <c r="J21" s="129" t="s">
        <v>47</v>
      </c>
      <c r="K21" s="120"/>
      <c r="L21" s="58" t="s">
        <v>47</v>
      </c>
    </row>
    <row r="22" spans="2:13" ht="13.8">
      <c r="B22" s="17" t="s">
        <v>54</v>
      </c>
      <c r="C22" s="122" t="s">
        <v>88</v>
      </c>
      <c r="D22" s="127"/>
      <c r="E22" s="123"/>
      <c r="F22" s="19" t="b">
        <v>1</v>
      </c>
      <c r="H22" s="54" t="s">
        <v>89</v>
      </c>
      <c r="I22" s="72" t="s">
        <v>90</v>
      </c>
      <c r="J22" s="129" t="s">
        <v>97</v>
      </c>
      <c r="K22" s="120"/>
      <c r="L22" s="58" t="s">
        <v>98</v>
      </c>
    </row>
    <row r="23" spans="2:13" ht="13.8">
      <c r="B23" s="6" t="s">
        <v>56</v>
      </c>
      <c r="C23" s="124" t="s">
        <v>99</v>
      </c>
      <c r="D23" s="128"/>
      <c r="E23" s="125"/>
      <c r="F23" s="8" t="b">
        <v>1</v>
      </c>
    </row>
    <row r="24" spans="2:13" ht="13.8">
      <c r="B24" s="22" t="s">
        <v>102</v>
      </c>
      <c r="C24" s="126" t="s">
        <v>103</v>
      </c>
      <c r="D24" s="128"/>
      <c r="E24" s="125"/>
      <c r="F24" s="24" t="b">
        <v>1</v>
      </c>
    </row>
    <row r="25" spans="2:13" ht="13.8">
      <c r="B25" s="6" t="s">
        <v>28</v>
      </c>
      <c r="C25" s="124" t="s">
        <v>104</v>
      </c>
      <c r="D25" s="128"/>
      <c r="E25" s="125"/>
      <c r="F25" s="8" t="b">
        <v>1</v>
      </c>
    </row>
    <row r="27" spans="2:13" ht="13.8">
      <c r="B27" s="119" t="s">
        <v>105</v>
      </c>
      <c r="C27" s="120"/>
      <c r="D27" s="120"/>
      <c r="E27" s="120"/>
      <c r="F27" s="120"/>
    </row>
    <row r="28" spans="2:13" ht="13.8">
      <c r="B28" s="39" t="s">
        <v>106</v>
      </c>
      <c r="C28" s="39" t="s">
        <v>107</v>
      </c>
      <c r="D28" s="39" t="s">
        <v>108</v>
      </c>
      <c r="E28" s="39" t="s">
        <v>109</v>
      </c>
      <c r="F28" s="39" t="s">
        <v>12</v>
      </c>
    </row>
    <row r="29" spans="2:13" ht="13.8">
      <c r="B29" s="17" t="s">
        <v>111</v>
      </c>
      <c r="C29" s="18" t="s">
        <v>112</v>
      </c>
      <c r="D29" s="18" t="s">
        <v>113</v>
      </c>
      <c r="E29" s="18" t="s">
        <v>114</v>
      </c>
      <c r="F29" s="19" t="b">
        <v>1</v>
      </c>
    </row>
    <row r="30" spans="2:13" ht="13.8">
      <c r="B30" s="6" t="s">
        <v>115</v>
      </c>
      <c r="C30" s="7" t="s">
        <v>112</v>
      </c>
      <c r="D30" s="7" t="s">
        <v>113</v>
      </c>
      <c r="E30" s="18" t="s">
        <v>114</v>
      </c>
      <c r="F30" s="8" t="b">
        <v>1</v>
      </c>
    </row>
    <row r="31" spans="2:13" ht="13.8">
      <c r="B31" s="22" t="s">
        <v>116</v>
      </c>
      <c r="C31" s="23" t="s">
        <v>117</v>
      </c>
      <c r="D31" s="23" t="s">
        <v>113</v>
      </c>
      <c r="E31" s="23" t="s">
        <v>118</v>
      </c>
      <c r="F31" s="24" t="b">
        <v>1</v>
      </c>
    </row>
    <row r="32" spans="2:13" ht="13.8">
      <c r="B32" s="6" t="s">
        <v>119</v>
      </c>
      <c r="C32" s="7" t="s">
        <v>117</v>
      </c>
      <c r="D32" s="7" t="s">
        <v>113</v>
      </c>
      <c r="E32" s="7" t="s">
        <v>118</v>
      </c>
      <c r="F32" s="8" t="b">
        <v>1</v>
      </c>
    </row>
    <row r="33" spans="2:12" ht="13.8">
      <c r="B33" s="22" t="s">
        <v>121</v>
      </c>
      <c r="C33" s="23" t="s">
        <v>117</v>
      </c>
      <c r="D33" s="23" t="s">
        <v>113</v>
      </c>
      <c r="E33" s="23" t="s">
        <v>118</v>
      </c>
      <c r="F33" s="24" t="b">
        <v>1</v>
      </c>
    </row>
    <row r="34" spans="2:12" ht="13.8">
      <c r="B34" s="75" t="s">
        <v>122</v>
      </c>
      <c r="C34" s="76" t="s">
        <v>117</v>
      </c>
      <c r="D34" s="76" t="s">
        <v>113</v>
      </c>
      <c r="E34" s="76" t="s">
        <v>118</v>
      </c>
      <c r="F34" s="77" t="b">
        <v>1</v>
      </c>
    </row>
    <row r="35" spans="2:12" ht="13.8">
      <c r="B35" s="78"/>
      <c r="C35" s="78"/>
      <c r="D35" s="78"/>
      <c r="E35" s="78"/>
      <c r="F35" s="80" t="b">
        <v>0</v>
      </c>
      <c r="H35" s="25" t="s">
        <v>124</v>
      </c>
      <c r="I35" s="25" t="s">
        <v>102</v>
      </c>
      <c r="J35" s="25" t="s">
        <v>58</v>
      </c>
      <c r="K35" s="25" t="s">
        <v>24</v>
      </c>
      <c r="L35" s="25" t="s">
        <v>125</v>
      </c>
    </row>
    <row r="36" spans="2:12" ht="13.8">
      <c r="B36" s="78"/>
      <c r="C36" s="78"/>
      <c r="D36" s="78"/>
      <c r="E36" s="78"/>
      <c r="F36" s="80" t="b">
        <v>0</v>
      </c>
      <c r="H36" s="25" t="s">
        <v>38</v>
      </c>
      <c r="I36" s="25" t="s">
        <v>39</v>
      </c>
      <c r="J36" s="25" t="s">
        <v>29</v>
      </c>
      <c r="K36" s="25" t="s">
        <v>40</v>
      </c>
      <c r="L36" s="25" t="s">
        <v>47</v>
      </c>
    </row>
  </sheetData>
  <mergeCells count="32">
    <mergeCell ref="B2:M2"/>
    <mergeCell ref="B3:M3"/>
    <mergeCell ref="B5:F5"/>
    <mergeCell ref="H5:M5"/>
    <mergeCell ref="L6:M6"/>
    <mergeCell ref="L7:M7"/>
    <mergeCell ref="L8:M8"/>
    <mergeCell ref="L16:M16"/>
    <mergeCell ref="L17:M17"/>
    <mergeCell ref="H19:L19"/>
    <mergeCell ref="J20:K20"/>
    <mergeCell ref="J21:K21"/>
    <mergeCell ref="J22:K22"/>
    <mergeCell ref="L9:M9"/>
    <mergeCell ref="L10:M10"/>
    <mergeCell ref="L11:M11"/>
    <mergeCell ref="L12:M12"/>
    <mergeCell ref="L13:M13"/>
    <mergeCell ref="L14:M14"/>
    <mergeCell ref="L15:M15"/>
    <mergeCell ref="C22:E22"/>
    <mergeCell ref="C23:E23"/>
    <mergeCell ref="C24:E24"/>
    <mergeCell ref="C25:E25"/>
    <mergeCell ref="B27:F27"/>
    <mergeCell ref="B20:F20"/>
    <mergeCell ref="C21:E21"/>
    <mergeCell ref="B15:F15"/>
    <mergeCell ref="D16:E16"/>
    <mergeCell ref="D17:E17"/>
    <mergeCell ref="D18:E18"/>
    <mergeCell ref="D19:E19"/>
  </mergeCells>
  <dataValidations count="3">
    <dataValidation type="list" allowBlank="1" sqref="I7:I17" xr:uid="{00000000-0002-0000-0100-000000000000}">
      <formula1>"All,Kids,Parents,Non-Casual"</formula1>
    </dataValidation>
    <dataValidation type="list" allowBlank="1" sqref="J7:J17" xr:uid="{00000000-0002-0000-0100-000001000000}">
      <formula1>"Daily,Once a Week,Bi-Weekly,Monthly"</formula1>
    </dataValidation>
    <dataValidation type="list" allowBlank="1" sqref="D7:D13" xr:uid="{00000000-0002-0000-0100-000002000000}">
      <formula1>"Full-Time,Bi-Weekly,Casual"</formula1>
    </dataValidation>
  </dataValidations>
  <hyperlinks>
    <hyperlink ref="I22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Printable Weekly Schedule</vt:lpstr>
      <vt:lpstr>Household Hub (Background Data)</vt:lpstr>
      <vt:lpstr>StartDate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 Voth</cp:lastModifiedBy>
  <dcterms:modified xsi:type="dcterms:W3CDTF">2026-10-19T08:12:08Z</dcterms:modified>
</cp:coreProperties>
</file>